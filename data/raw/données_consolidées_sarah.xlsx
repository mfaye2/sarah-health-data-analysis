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  <sheet state="visible" name="Feuille 2" sheetId="2" r:id="rId6"/>
  </sheets>
  <definedNames/>
  <calcPr/>
</workbook>
</file>

<file path=xl/sharedStrings.xml><?xml version="1.0" encoding="utf-8"?>
<sst xmlns="http://schemas.openxmlformats.org/spreadsheetml/2006/main" count="59" uniqueCount="22">
  <si>
    <t>Date</t>
  </si>
  <si>
    <t>Nb total pas</t>
  </si>
  <si>
    <t>Fréquence cardiaque au repos</t>
  </si>
  <si>
    <t>Symptômes</t>
  </si>
  <si>
    <t>Vélo</t>
  </si>
  <si>
    <t>Humeur</t>
  </si>
  <si>
    <t>Bon pour la santé ?</t>
  </si>
  <si>
    <t>Consistant ?</t>
  </si>
  <si>
    <t>depense</t>
  </si>
  <si>
    <t>depenses</t>
  </si>
  <si>
    <t>Excellente</t>
  </si>
  <si>
    <t>Mal de tête</t>
  </si>
  <si>
    <t>Oui</t>
  </si>
  <si>
    <t>Mauvaise</t>
  </si>
  <si>
    <t>Non</t>
  </si>
  <si>
    <t>Fatigue</t>
  </si>
  <si>
    <t>Moyenne</t>
  </si>
  <si>
    <t>Bonne</t>
  </si>
  <si>
    <t>Booonne</t>
  </si>
  <si>
    <t>Horrible</t>
  </si>
  <si>
    <t>Nausée</t>
  </si>
  <si>
    <t>SUM de Débit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</si>
</sst>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\-mmm\-yy"/>
    <numFmt numFmtId="165" formatCode="dd-mmm-yy"/>
    <numFmt numFmtId="166" formatCode="d-mmm-yy"/>
  </numFmts>
  <fonts count="7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color rgb="FFFFFFFF"/>
      <name val="Arial"/>
    </font>
    <font>
      <color theme="1"/>
      <name val="Arial"/>
      <scheme val="minor"/>
    </font>
    <font>
      <sz val="11.0"/>
      <color theme="1"/>
      <name val="Calibri"/>
    </font>
    <font>
      <i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8093B3"/>
        <bgColor rgb="FF8093B3"/>
      </patternFill>
    </fill>
    <fill>
      <patternFill patternType="solid">
        <fgColor rgb="FFFFFFFF"/>
        <bgColor rgb="FFFFFFFF"/>
      </patternFill>
    </fill>
    <fill>
      <patternFill patternType="solid">
        <fgColor rgb="FFDFE4EC"/>
        <bgColor rgb="FFDFE4EC"/>
      </patternFill>
    </fill>
    <fill>
      <patternFill patternType="solid">
        <fgColor rgb="FFF4F6F8"/>
        <bgColor rgb="FFF4F6F8"/>
      </patternFill>
    </fill>
  </fills>
  <borders count="4">
    <border/>
    <border>
      <left/>
      <right/>
      <top/>
      <bottom/>
    </border>
    <border>
      <bottom style="thick">
        <color rgb="FF8093B3"/>
      </bottom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15" xfId="0" applyAlignment="1" applyFont="1" applyNumberFormat="1">
      <alignment vertical="bottom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vertical="bottom"/>
    </xf>
    <xf borderId="2" fillId="3" fontId="3" numFmtId="0" xfId="0" applyAlignment="1" applyBorder="1" applyFill="1" applyFont="1">
      <alignment readingOrder="0" vertical="bottom"/>
    </xf>
    <xf borderId="0" fillId="0" fontId="4" numFmtId="0" xfId="0" applyAlignment="1" applyFont="1">
      <alignment readingOrder="0"/>
    </xf>
    <xf borderId="0" fillId="0" fontId="1" numFmtId="15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4" fontId="1" numFmtId="0" xfId="0" applyAlignment="1" applyFill="1" applyFont="1">
      <alignment horizontal="right" vertical="bottom"/>
    </xf>
    <xf borderId="0" fillId="0" fontId="4" numFmtId="0" xfId="0" applyFont="1"/>
    <xf borderId="0" fillId="0" fontId="1" numFmtId="164" xfId="0" applyAlignment="1" applyFont="1" applyNumberFormat="1">
      <alignment horizontal="right" vertical="bottom"/>
    </xf>
    <xf borderId="2" fillId="5" fontId="6" numFmtId="0" xfId="0" applyAlignment="1" applyBorder="1" applyFill="1" applyFont="1">
      <alignment vertical="bottom"/>
    </xf>
    <xf borderId="2" fillId="3" fontId="3" numFmtId="0" xfId="0" applyAlignment="1" applyBorder="1" applyFont="1">
      <alignment vertical="bottom"/>
    </xf>
    <xf borderId="3" fillId="6" fontId="1" numFmtId="165" xfId="0" applyAlignment="1" applyBorder="1" applyFill="1" applyFont="1" applyNumberFormat="1">
      <alignment horizontal="right" vertical="bottom"/>
    </xf>
    <xf borderId="3" fillId="6" fontId="1" numFmtId="166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</row>
    <row r="2">
      <c r="A2" s="6">
        <v>44593.0</v>
      </c>
      <c r="B2" s="7">
        <v>8372.0</v>
      </c>
      <c r="C2" s="7">
        <v>68.0</v>
      </c>
      <c r="D2" s="8"/>
      <c r="E2" s="8"/>
      <c r="F2" s="8" t="s">
        <v>10</v>
      </c>
      <c r="G2" s="8"/>
      <c r="H2" s="8"/>
      <c r="I2" s="9">
        <v>12.1</v>
      </c>
      <c r="J2" s="10">
        <f>IFERROR( VLOOKUP(A2,'Feuille 2'!$A$2:$B$21,2,),0)</f>
        <v>12.1</v>
      </c>
    </row>
    <row r="3">
      <c r="A3" s="6">
        <v>44594.0</v>
      </c>
      <c r="B3" s="7">
        <v>4928.0</v>
      </c>
      <c r="C3" s="7">
        <v>67.0</v>
      </c>
      <c r="D3" s="8" t="s">
        <v>11</v>
      </c>
      <c r="E3" s="8" t="s">
        <v>12</v>
      </c>
      <c r="F3" s="8" t="s">
        <v>13</v>
      </c>
      <c r="G3" s="8" t="s">
        <v>14</v>
      </c>
      <c r="H3" s="8"/>
      <c r="I3" s="9">
        <v>5.45</v>
      </c>
      <c r="J3" s="10">
        <f>IFERROR( VLOOKUP(A3,'Feuille 2'!$A$2:$B$21,2,),0)</f>
        <v>5.45</v>
      </c>
    </row>
    <row r="4">
      <c r="A4" s="6">
        <v>44595.0</v>
      </c>
      <c r="B4" s="7">
        <v>4941.0</v>
      </c>
      <c r="C4" s="7">
        <v>67.0</v>
      </c>
      <c r="D4" s="8" t="s">
        <v>15</v>
      </c>
      <c r="E4" s="8" t="s">
        <v>14</v>
      </c>
      <c r="F4" s="8" t="s">
        <v>16</v>
      </c>
      <c r="G4" s="8"/>
      <c r="H4" s="8"/>
      <c r="I4" s="9">
        <v>2.01</v>
      </c>
      <c r="J4" s="10">
        <f>IFERROR( VLOOKUP(A4,'Feuille 2'!$A$2:$B$21,2,),0)</f>
        <v>2.01</v>
      </c>
    </row>
    <row r="5">
      <c r="A5" s="6">
        <v>44596.0</v>
      </c>
      <c r="B5" s="7">
        <v>9783.0</v>
      </c>
      <c r="C5" s="7">
        <v>68.0</v>
      </c>
      <c r="D5" s="8"/>
      <c r="E5" s="8"/>
      <c r="F5" s="8" t="s">
        <v>17</v>
      </c>
      <c r="G5" s="8"/>
      <c r="H5" s="8"/>
      <c r="I5" s="9">
        <v>12.5</v>
      </c>
      <c r="J5" s="10">
        <f>IFERROR( VLOOKUP(A5,'Feuille 2'!$A$2:$B$21,2,),0)</f>
        <v>12.5</v>
      </c>
    </row>
    <row r="6">
      <c r="A6" s="6">
        <v>44597.0</v>
      </c>
      <c r="B6" s="7">
        <v>7994.0</v>
      </c>
      <c r="C6" s="7">
        <v>67.0</v>
      </c>
      <c r="D6" s="8"/>
      <c r="E6" s="8"/>
      <c r="F6" s="8" t="s">
        <v>17</v>
      </c>
      <c r="G6" s="8"/>
      <c r="H6" s="8"/>
      <c r="I6" s="9"/>
      <c r="J6" s="10">
        <f>IFERROR( VLOOKUP(A6,'Feuille 2'!$A$2:$B$21,2,),0)</f>
        <v>0</v>
      </c>
    </row>
    <row r="7">
      <c r="A7" s="6">
        <v>44598.0</v>
      </c>
      <c r="B7" s="7">
        <v>7682.0</v>
      </c>
      <c r="C7" s="7">
        <v>67.0</v>
      </c>
      <c r="D7" s="8"/>
      <c r="E7" s="8"/>
      <c r="F7" s="8" t="s">
        <v>18</v>
      </c>
      <c r="G7" s="8"/>
      <c r="H7" s="8"/>
      <c r="I7" s="9"/>
      <c r="J7" s="10">
        <f>IFERROR( VLOOKUP(A7,'Feuille 2'!$A$2:$B$21,2,),0)</f>
        <v>0</v>
      </c>
    </row>
    <row r="8">
      <c r="A8" s="6">
        <v>44599.0</v>
      </c>
      <c r="B8" s="7">
        <v>7881.0</v>
      </c>
      <c r="C8" s="7">
        <v>68.0</v>
      </c>
      <c r="D8" s="8"/>
      <c r="E8" s="8"/>
      <c r="F8" s="8" t="s">
        <v>10</v>
      </c>
      <c r="G8" s="8"/>
      <c r="H8" s="8"/>
      <c r="I8" s="9">
        <v>7.44</v>
      </c>
      <c r="J8" s="10">
        <f>IFERROR( VLOOKUP(A8,'Feuille 2'!$A$2:$B$21,2,),0)</f>
        <v>7.44</v>
      </c>
    </row>
    <row r="9">
      <c r="A9" s="6">
        <v>44600.0</v>
      </c>
      <c r="B9" s="7">
        <v>2563.0</v>
      </c>
      <c r="C9" s="7">
        <v>68.0</v>
      </c>
      <c r="D9" s="8" t="s">
        <v>11</v>
      </c>
      <c r="E9" s="8"/>
      <c r="F9" s="8" t="s">
        <v>19</v>
      </c>
      <c r="G9" s="8" t="s">
        <v>14</v>
      </c>
      <c r="H9" s="8"/>
      <c r="I9" s="9">
        <v>13.34</v>
      </c>
      <c r="J9" s="10">
        <f>IFERROR( VLOOKUP(A9,'Feuille 2'!$A$2:$B$21,2,),0)</f>
        <v>13.34</v>
      </c>
    </row>
    <row r="10">
      <c r="A10" s="6">
        <v>44601.0</v>
      </c>
      <c r="B10" s="7">
        <v>10337.0</v>
      </c>
      <c r="C10" s="7">
        <v>68.0</v>
      </c>
      <c r="D10" s="8" t="s">
        <v>20</v>
      </c>
      <c r="E10" s="8"/>
      <c r="F10" s="8" t="s">
        <v>10</v>
      </c>
      <c r="G10" s="8"/>
      <c r="H10" s="8"/>
      <c r="I10" s="9">
        <v>7.18</v>
      </c>
      <c r="J10" s="10">
        <f>IFERROR( VLOOKUP(A10,'Feuille 2'!$A$2:$B$21,2,),0)</f>
        <v>7.18</v>
      </c>
    </row>
    <row r="11">
      <c r="A11" s="11">
        <v>44602.0</v>
      </c>
      <c r="B11" s="7">
        <v>9968.0</v>
      </c>
      <c r="C11" s="7">
        <v>68.0</v>
      </c>
      <c r="D11" s="8"/>
      <c r="E11" s="8"/>
      <c r="F11" s="8" t="s">
        <v>10</v>
      </c>
      <c r="G11" s="8"/>
      <c r="H11" s="8"/>
      <c r="I11" s="9"/>
      <c r="J11" s="10">
        <f>IFERROR( VLOOKUP(A11,'Feuille 2'!$A$2:$B$21,2,),0)</f>
        <v>0</v>
      </c>
    </row>
    <row r="12">
      <c r="A12" s="11">
        <v>44603.0</v>
      </c>
      <c r="B12" s="7">
        <v>2068.0</v>
      </c>
      <c r="C12" s="7">
        <v>67.0</v>
      </c>
      <c r="D12" s="8"/>
      <c r="E12" s="8"/>
      <c r="F12" s="8" t="s">
        <v>17</v>
      </c>
      <c r="G12" s="8"/>
      <c r="H12" s="8"/>
      <c r="I12" s="9">
        <v>12.8</v>
      </c>
      <c r="J12" s="10">
        <f>IFERROR( VLOOKUP(A12,'Feuille 2'!$A$2:$B$21,2,),0)</f>
        <v>12.8</v>
      </c>
    </row>
    <row r="13">
      <c r="A13" s="11">
        <v>44604.0</v>
      </c>
      <c r="B13" s="7">
        <v>3982.0</v>
      </c>
      <c r="C13" s="7">
        <v>68.0</v>
      </c>
      <c r="D13" s="8"/>
      <c r="E13" s="8"/>
      <c r="F13" s="8" t="s">
        <v>17</v>
      </c>
      <c r="G13" s="8"/>
      <c r="H13" s="8"/>
      <c r="I13" s="9">
        <v>10.37</v>
      </c>
      <c r="J13" s="10">
        <f>IFERROR( VLOOKUP(A13,'Feuille 2'!$A$2:$B$21,2,),0)</f>
        <v>10.37</v>
      </c>
    </row>
    <row r="14">
      <c r="A14" s="11">
        <v>44605.0</v>
      </c>
      <c r="B14" s="7">
        <v>4084.0</v>
      </c>
      <c r="C14" s="7">
        <v>67.0</v>
      </c>
      <c r="D14" s="8"/>
      <c r="E14" s="8"/>
      <c r="F14" s="8" t="s">
        <v>17</v>
      </c>
      <c r="G14" s="8"/>
      <c r="H14" s="8"/>
      <c r="I14" s="9"/>
      <c r="J14" s="10">
        <f>IFERROR( VLOOKUP(A14,'Feuille 2'!$A$2:$B$21,2,),0)</f>
        <v>0</v>
      </c>
    </row>
    <row r="15">
      <c r="A15" s="11">
        <v>44606.0</v>
      </c>
      <c r="B15" s="7">
        <v>2397.0</v>
      </c>
      <c r="C15" s="7">
        <v>67.0</v>
      </c>
      <c r="D15" s="8"/>
      <c r="E15" s="8" t="s">
        <v>12</v>
      </c>
      <c r="F15" s="8" t="s">
        <v>13</v>
      </c>
      <c r="G15" s="8" t="s">
        <v>14</v>
      </c>
      <c r="H15" s="8"/>
      <c r="I15" s="9">
        <v>11.0</v>
      </c>
      <c r="J15" s="10">
        <f>IFERROR( VLOOKUP(A15,'Feuille 2'!$A$2:$B$21,2,),0)</f>
        <v>11</v>
      </c>
    </row>
    <row r="16">
      <c r="A16" s="11">
        <v>44607.0</v>
      </c>
      <c r="B16" s="7">
        <v>7468.0</v>
      </c>
      <c r="C16" s="7">
        <v>67.0</v>
      </c>
      <c r="D16" s="8"/>
      <c r="E16" s="8" t="s">
        <v>12</v>
      </c>
      <c r="F16" s="8" t="s">
        <v>10</v>
      </c>
      <c r="G16" s="8"/>
      <c r="H16" s="8"/>
      <c r="I16" s="9">
        <v>8.4</v>
      </c>
      <c r="J16" s="10">
        <f>IFERROR( VLOOKUP(A16,'Feuille 2'!$A$2:$B$21,2,),0)</f>
        <v>8.4</v>
      </c>
    </row>
    <row r="17">
      <c r="A17" s="11">
        <v>44608.0</v>
      </c>
      <c r="B17" s="7">
        <v>7803.0</v>
      </c>
      <c r="C17" s="7">
        <v>67.0</v>
      </c>
      <c r="D17" s="8"/>
      <c r="E17" s="8" t="s">
        <v>12</v>
      </c>
      <c r="F17" s="8" t="s">
        <v>10</v>
      </c>
      <c r="G17" s="8"/>
      <c r="H17" s="8"/>
      <c r="I17" s="9">
        <v>10.2</v>
      </c>
      <c r="J17" s="10">
        <f>IFERROR( VLOOKUP(A17,'Feuille 2'!$A$2:$B$21,2,),0)</f>
        <v>10.2</v>
      </c>
    </row>
    <row r="18">
      <c r="A18" s="11">
        <v>44609.0</v>
      </c>
      <c r="B18" s="7">
        <v>1484.0</v>
      </c>
      <c r="C18" s="7">
        <v>68.0</v>
      </c>
      <c r="D18" s="8"/>
      <c r="E18" s="8"/>
      <c r="F18" s="8" t="s">
        <v>17</v>
      </c>
      <c r="G18" s="8"/>
      <c r="H18" s="8"/>
      <c r="I18" s="9">
        <v>9.8</v>
      </c>
      <c r="J18" s="10">
        <f>IFERROR( VLOOKUP(A18,'Feuille 2'!$A$2:$B$21,2,),0)</f>
        <v>9.8</v>
      </c>
    </row>
    <row r="19">
      <c r="A19" s="11">
        <v>44610.0</v>
      </c>
      <c r="B19" s="7">
        <v>3102.0</v>
      </c>
      <c r="C19" s="7">
        <v>67.0</v>
      </c>
      <c r="D19" s="8" t="s">
        <v>15</v>
      </c>
      <c r="E19" s="8"/>
      <c r="F19" s="8" t="s">
        <v>13</v>
      </c>
      <c r="G19" s="8"/>
      <c r="H19" s="8" t="s">
        <v>14</v>
      </c>
      <c r="I19" s="9">
        <v>10.7</v>
      </c>
      <c r="J19" s="10">
        <f>IFERROR( VLOOKUP(A19,'Feuille 2'!$A$2:$B$21,2,),0)</f>
        <v>10.7</v>
      </c>
    </row>
    <row r="20">
      <c r="A20" s="11">
        <v>44611.0</v>
      </c>
      <c r="B20" s="7">
        <v>3673.0</v>
      </c>
      <c r="C20" s="7">
        <v>67.0</v>
      </c>
      <c r="D20" s="8" t="s">
        <v>15</v>
      </c>
      <c r="E20" s="8"/>
      <c r="F20" s="8" t="s">
        <v>13</v>
      </c>
      <c r="G20" s="8"/>
      <c r="H20" s="8" t="s">
        <v>14</v>
      </c>
      <c r="I20" s="9">
        <v>8.3</v>
      </c>
      <c r="J20" s="10">
        <f>IFERROR( VLOOKUP(A20,'Feuille 2'!$A$2:$B$21,2,),0)</f>
        <v>8.3</v>
      </c>
    </row>
    <row r="21">
      <c r="A21" s="11">
        <v>44612.0</v>
      </c>
      <c r="B21" s="7">
        <v>7443.0</v>
      </c>
      <c r="C21" s="7">
        <v>68.0</v>
      </c>
      <c r="D21" s="8"/>
      <c r="E21" s="8"/>
      <c r="F21" s="8" t="s">
        <v>10</v>
      </c>
      <c r="G21" s="8"/>
      <c r="H21" s="8"/>
      <c r="I21" s="9"/>
      <c r="J21" s="10">
        <f>IFERROR( VLOOKUP(A21,'Feuille 2'!$A$2:$B$21,2,),0)</f>
        <v>0</v>
      </c>
    </row>
    <row r="22">
      <c r="A22" s="11">
        <v>44613.0</v>
      </c>
      <c r="B22" s="7">
        <v>3848.0</v>
      </c>
      <c r="C22" s="7">
        <v>68.0</v>
      </c>
      <c r="D22" s="8"/>
      <c r="E22" s="8"/>
      <c r="F22" s="8" t="s">
        <v>10</v>
      </c>
      <c r="G22" s="8"/>
      <c r="H22" s="8"/>
      <c r="I22" s="9">
        <v>5.0</v>
      </c>
      <c r="J22" s="10">
        <f>IFERROR( VLOOKUP(A22,'Feuille 2'!$A$2:$B$21,2,),0)</f>
        <v>5</v>
      </c>
    </row>
    <row r="23">
      <c r="A23" s="11">
        <v>44614.0</v>
      </c>
      <c r="B23" s="7">
        <v>5039.0</v>
      </c>
      <c r="C23" s="7">
        <v>68.0</v>
      </c>
      <c r="D23" s="8"/>
      <c r="E23" s="8"/>
      <c r="F23" s="8" t="s">
        <v>10</v>
      </c>
      <c r="G23" s="8"/>
      <c r="H23" s="8"/>
      <c r="I23" s="9"/>
      <c r="J23" s="10">
        <f>IFERROR( VLOOKUP(A23,'Feuille 2'!$A$2:$B$21,2,),0)</f>
        <v>0</v>
      </c>
    </row>
    <row r="24">
      <c r="A24" s="11">
        <v>44615.0</v>
      </c>
      <c r="B24" s="7">
        <v>8666.0</v>
      </c>
      <c r="C24" s="7">
        <v>68.0</v>
      </c>
      <c r="D24" s="8"/>
      <c r="E24" s="8"/>
      <c r="F24" s="8" t="s">
        <v>10</v>
      </c>
      <c r="G24" s="8"/>
      <c r="H24" s="8"/>
      <c r="I24" s="9">
        <v>11.3</v>
      </c>
      <c r="J24" s="10">
        <f>IFERROR( VLOOKUP(A24,'Feuille 2'!$A$2:$B$21,2,),0)</f>
        <v>11.3</v>
      </c>
    </row>
    <row r="25">
      <c r="A25" s="11">
        <v>44616.0</v>
      </c>
      <c r="B25" s="7">
        <v>7449.0</v>
      </c>
      <c r="C25" s="7">
        <v>67.0</v>
      </c>
      <c r="D25" s="8"/>
      <c r="E25" s="8" t="s">
        <v>12</v>
      </c>
      <c r="F25" s="8" t="s">
        <v>17</v>
      </c>
      <c r="G25" s="8"/>
      <c r="H25" s="8"/>
      <c r="I25" s="9">
        <v>7.73</v>
      </c>
      <c r="J25" s="10">
        <f>IFERROR( VLOOKUP(A25,'Feuille 2'!$A$2:$B$21,2,),0)</f>
        <v>7.73</v>
      </c>
    </row>
    <row r="26">
      <c r="A26" s="11">
        <v>44617.0</v>
      </c>
      <c r="B26" s="7">
        <v>6033.0</v>
      </c>
      <c r="C26" s="7">
        <v>67.0</v>
      </c>
      <c r="D26" s="8"/>
      <c r="E26" s="8"/>
      <c r="F26" s="8" t="s">
        <v>17</v>
      </c>
      <c r="G26" s="8"/>
      <c r="H26" s="8"/>
      <c r="I26" s="9"/>
      <c r="J26" s="10">
        <f>IFERROR( VLOOKUP(A26,'Feuille 2'!$A$2:$B$21,2,),0)</f>
        <v>0</v>
      </c>
    </row>
    <row r="27">
      <c r="A27" s="11">
        <v>44618.0</v>
      </c>
      <c r="B27" s="7">
        <v>10135.0</v>
      </c>
      <c r="C27" s="7">
        <v>68.0</v>
      </c>
      <c r="D27" s="8" t="s">
        <v>20</v>
      </c>
      <c r="E27" s="8"/>
      <c r="F27" s="8" t="s">
        <v>10</v>
      </c>
      <c r="G27" s="8"/>
      <c r="H27" s="8"/>
      <c r="I27" s="9">
        <v>13.72</v>
      </c>
      <c r="J27" s="10">
        <f>IFERROR( VLOOKUP(A27,'Feuille 2'!$A$2:$B$21,2,),0)</f>
        <v>13.72</v>
      </c>
    </row>
    <row r="28">
      <c r="A28" s="11">
        <v>44619.0</v>
      </c>
      <c r="B28" s="7">
        <v>8109.0</v>
      </c>
      <c r="C28" s="7">
        <v>67.0</v>
      </c>
      <c r="D28" s="8"/>
      <c r="E28" s="8" t="s">
        <v>12</v>
      </c>
      <c r="F28" s="8" t="s">
        <v>10</v>
      </c>
      <c r="G28" s="8"/>
      <c r="H28" s="8"/>
      <c r="I28" s="9"/>
      <c r="J28" s="10">
        <f>IFERROR( VLOOKUP(A28,'Feuille 2'!$A$2:$B$21,2,),0)</f>
        <v>0</v>
      </c>
    </row>
    <row r="29">
      <c r="A29" s="11">
        <v>44620.0</v>
      </c>
      <c r="B29" s="7">
        <v>6839.0</v>
      </c>
      <c r="C29" s="7">
        <v>67.0</v>
      </c>
      <c r="D29" s="8"/>
      <c r="E29" s="8"/>
      <c r="F29" s="8" t="s">
        <v>10</v>
      </c>
      <c r="G29" s="8"/>
      <c r="H29" s="8"/>
      <c r="I29" s="9">
        <v>8.99</v>
      </c>
      <c r="J29" s="10">
        <f>IFERROR( VLOOKUP(A29,'Feuille 2'!$A$2:$B$21,2,),0)</f>
        <v>8.99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3" t="s">
        <v>21</v>
      </c>
    </row>
    <row r="2">
      <c r="A2" s="14">
        <v>44593.0</v>
      </c>
      <c r="B2" s="9">
        <v>12.1</v>
      </c>
    </row>
    <row r="3">
      <c r="A3" s="14">
        <v>44594.0</v>
      </c>
      <c r="B3" s="9">
        <v>5.45</v>
      </c>
    </row>
    <row r="4">
      <c r="A4" s="14">
        <v>44595.0</v>
      </c>
      <c r="B4" s="9">
        <v>2.01</v>
      </c>
    </row>
    <row r="5">
      <c r="A5" s="14">
        <v>44596.0</v>
      </c>
      <c r="B5" s="9">
        <v>12.5</v>
      </c>
    </row>
    <row r="6">
      <c r="A6" s="14">
        <v>44599.0</v>
      </c>
      <c r="B6" s="9">
        <v>7.44</v>
      </c>
    </row>
    <row r="7">
      <c r="A7" s="14">
        <v>44600.0</v>
      </c>
      <c r="B7" s="9">
        <v>13.34</v>
      </c>
    </row>
    <row r="8">
      <c r="A8" s="14">
        <v>44601.0</v>
      </c>
      <c r="B8" s="9">
        <v>7.18</v>
      </c>
    </row>
    <row r="9">
      <c r="A9" s="15">
        <v>44603.0</v>
      </c>
      <c r="B9" s="9">
        <v>12.8</v>
      </c>
    </row>
    <row r="10">
      <c r="A10" s="15">
        <v>44604.0</v>
      </c>
      <c r="B10" s="9">
        <v>10.37</v>
      </c>
    </row>
    <row r="11">
      <c r="A11" s="15">
        <v>44606.0</v>
      </c>
      <c r="B11" s="9">
        <v>11.0</v>
      </c>
    </row>
    <row r="12">
      <c r="A12" s="15">
        <v>44607.0</v>
      </c>
      <c r="B12" s="9">
        <v>8.4</v>
      </c>
    </row>
    <row r="13">
      <c r="A13" s="15">
        <v>44608.0</v>
      </c>
      <c r="B13" s="9">
        <v>10.2</v>
      </c>
    </row>
    <row r="14">
      <c r="A14" s="15">
        <v>44609.0</v>
      </c>
      <c r="B14" s="9">
        <v>9.8</v>
      </c>
    </row>
    <row r="15">
      <c r="A15" s="15">
        <v>44610.0</v>
      </c>
      <c r="B15" s="9">
        <v>10.7</v>
      </c>
    </row>
    <row r="16">
      <c r="A16" s="15">
        <v>44611.0</v>
      </c>
      <c r="B16" s="9">
        <v>8.3</v>
      </c>
    </row>
    <row r="17">
      <c r="A17" s="15">
        <v>44613.0</v>
      </c>
      <c r="B17" s="9">
        <v>5.0</v>
      </c>
    </row>
    <row r="18">
      <c r="A18" s="15">
        <v>44615.0</v>
      </c>
      <c r="B18" s="9">
        <v>11.3</v>
      </c>
    </row>
    <row r="19">
      <c r="A19" s="15">
        <v>44616.0</v>
      </c>
      <c r="B19" s="9">
        <v>7.73</v>
      </c>
    </row>
    <row r="20">
      <c r="A20" s="15">
        <v>44618.0</v>
      </c>
      <c r="B20" s="9">
        <v>13.72</v>
      </c>
    </row>
    <row r="21">
      <c r="A21" s="15">
        <v>44620.0</v>
      </c>
      <c r="B21" s="9">
        <v>8.99</v>
      </c>
    </row>
  </sheetData>
  <drawing r:id="rId1"/>
</worksheet>
</file>