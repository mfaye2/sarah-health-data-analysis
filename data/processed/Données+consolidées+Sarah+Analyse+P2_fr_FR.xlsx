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" sheetId="1" r:id="rId5"/>
    <sheet state="visible" name="Tableau croisé dynamique 2" sheetId="2" r:id="rId6"/>
    <sheet state="visible" name="Analyse quantitative" sheetId="3" r:id="rId7"/>
    <sheet state="visible" name="Analyse qualitative 1" sheetId="4" r:id="rId8"/>
    <sheet state="visible" name="Analyse qualitative 2" sheetId="5" r:id="rId9"/>
    <sheet state="visible" name="Analyse temporelle" sheetId="6" r:id="rId10"/>
  </sheets>
  <definedNames/>
  <calcPr/>
  <pivotCaches>
    <pivotCache cacheId="0" r:id="rId11"/>
    <pivotCache cacheId="1" r:id="rId12"/>
    <pivotCache cacheId="2" r:id="rId13"/>
  </pivotCaches>
</workbook>
</file>

<file path=xl/sharedStrings.xml><?xml version="1.0" encoding="utf-8"?>
<sst xmlns="http://schemas.openxmlformats.org/spreadsheetml/2006/main" count="177" uniqueCount="32">
  <si>
    <t>Date</t>
  </si>
  <si>
    <t>Nb total pas</t>
  </si>
  <si>
    <t>Fréquence cardiaque au repos</t>
  </si>
  <si>
    <t>Symptômes</t>
  </si>
  <si>
    <t>Vélo</t>
  </si>
  <si>
    <t>Humeur</t>
  </si>
  <si>
    <t>Bon pour la santé ?</t>
  </si>
  <si>
    <t>Consistant ?</t>
  </si>
  <si>
    <t>Dépenses</t>
  </si>
  <si>
    <t>Calories</t>
  </si>
  <si>
    <t>Temps de sommeil total (en min.)</t>
  </si>
  <si>
    <t>Temps passé au lit (en min.)</t>
  </si>
  <si>
    <t>%Sommeil</t>
  </si>
  <si>
    <t>Nb total pas MG</t>
  </si>
  <si>
    <t>Aucun</t>
  </si>
  <si>
    <t>Non</t>
  </si>
  <si>
    <t>Excellente</t>
  </si>
  <si>
    <t>Oui</t>
  </si>
  <si>
    <t>Mal de tête</t>
  </si>
  <si>
    <t>Mauvaise</t>
  </si>
  <si>
    <t>Fatigue</t>
  </si>
  <si>
    <t>Moyenne</t>
  </si>
  <si>
    <t>Bonne</t>
  </si>
  <si>
    <t>Horrible</t>
  </si>
  <si>
    <t>Nausée</t>
  </si>
  <si>
    <t>Total</t>
  </si>
  <si>
    <t>Min.</t>
  </si>
  <si>
    <t>Max.</t>
  </si>
  <si>
    <t>SUM de Calories</t>
  </si>
  <si>
    <t>Total général</t>
  </si>
  <si>
    <t>COUNTA of Humeur</t>
  </si>
  <si>
    <t>COUNTA of Dépenses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</si>
</sst>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10" xfId="0" applyBorder="1" applyFont="1" applyNumberFormat="1"/>
    <xf borderId="1" fillId="3" fontId="1" numFmtId="164" xfId="0" applyBorder="1" applyFill="1" applyFont="1" applyNumberFormat="1"/>
    <xf borderId="0" fillId="0" fontId="3" numFmtId="0" xfId="0" applyFont="1"/>
    <xf borderId="0" fillId="0" fontId="3" numFmtId="10" xfId="0" applyFont="1" applyNumberFormat="1"/>
    <xf borderId="0" fillId="0" fontId="2" numFmtId="0" xfId="0" applyFont="1"/>
    <xf borderId="0" fillId="0" fontId="4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Calories par rapport à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'Tableau croisé dynamique 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'Tableau croisé dynamique 2'!$A$2:$A$29</c:f>
            </c:strRef>
          </c:cat>
          <c:val>
            <c:numRef>
              <c:f>'Tableau croisé dynamique 2'!$B$2:$B$29</c:f>
              <c:numCache/>
            </c:numRef>
          </c:val>
          <c:smooth val="0"/>
        </c:ser>
        <c:axId val="1571559348"/>
        <c:axId val="1540288336"/>
      </c:lineChart>
      <c:catAx>
        <c:axId val="1571559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288336"/>
      </c:catAx>
      <c:valAx>
        <c:axId val="1540288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Calories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5593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Nb total pas /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Nb total pas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'Données'!$A$2:$A$29</c:f>
            </c:strRef>
          </c:cat>
          <c:val>
            <c:numRef>
              <c:f>'Données'!$B$2:$B$29</c:f>
              <c:numCache/>
            </c:numRef>
          </c:val>
          <c:smooth val="0"/>
        </c:ser>
        <c:axId val="28958095"/>
        <c:axId val="1759804942"/>
      </c:lineChart>
      <c:catAx>
        <c:axId val="28958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59804942"/>
      </c:catAx>
      <c:valAx>
        <c:axId val="1759804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Nb total pas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95809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Nb total pas / Calories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Calories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'Données'!$B$2:$B$29</c:f>
            </c:numRef>
          </c:xVal>
          <c:yVal>
            <c:numRef>
              <c:f>'Données'!$J$2:$J$30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993379"/>
        <c:axId val="942425222"/>
      </c:scatterChart>
      <c:valAx>
        <c:axId val="20979933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Nb total pas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42425222"/>
      </c:valAx>
      <c:valAx>
        <c:axId val="942425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Calories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9799337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Humeur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'Analyse qualitative 1'!$A$2:$A$6</c:f>
            </c:strRef>
          </c:cat>
          <c:val>
            <c:numRef>
              <c:f>'Analyse qualitative 1'!$B$2:$B$6</c:f>
              <c:numCache/>
            </c:numRef>
          </c:val>
        </c:ser>
        <c:axId val="1364530013"/>
        <c:axId val="2132109351"/>
      </c:barChart>
      <c:catAx>
        <c:axId val="1364530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Humeur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32109351"/>
      </c:catAx>
      <c:valAx>
        <c:axId val="21321093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Nombre de jours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6453001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Dépenses en fonction de l'humeur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'Analyse qualitative 2'!$A$2:$A$6</c:f>
            </c:strRef>
          </c:cat>
          <c:val>
            <c:numRef>
              <c:f>'Analyse qualitative 2'!$B$2:$B$6</c:f>
              <c:numCache/>
            </c:numRef>
          </c:val>
        </c:ser>
        <c:axId val="1314805754"/>
        <c:axId val="117791462"/>
      </c:barChart>
      <c:catAx>
        <c:axId val="1314805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Humeur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7791462"/>
      </c:catAx>
      <c:valAx>
        <c:axId val="117791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Dépenses moyennes par jour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1480575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Nb total pas, tendance de fond</a:t>
            </a:r>
          </a:p>
        </c:rich>
      </c:tx>
      <c:overlay val="0"/>
    </c:title>
    <c:plotArea>
      <c:layout/>
      <c:lineChart>
        <c:ser>
          <c:idx val="0"/>
          <c:order val="0"/>
          <c:tx>
            <c:v>Nb total pas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'Données'!$A$2:$A$29</c:f>
            </c:strRef>
          </c:cat>
          <c:val>
            <c:numRef>
              <c:f>'Données'!$B$2:$B$29</c:f>
              <c:numCache/>
            </c:numRef>
          </c:val>
          <c:smooth val="0"/>
        </c:ser>
        <c:ser>
          <c:idx val="1"/>
          <c:order val="1"/>
          <c:tx>
            <c:v>Nb total pas MG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'Données'!$A$2:$A$29</c:f>
            </c:strRef>
          </c:cat>
          <c:val>
            <c:numRef>
              <c:f>'Données'!$N$2:$N$29</c:f>
              <c:numCache/>
            </c:numRef>
          </c:val>
          <c:smooth val="0"/>
        </c:ser>
        <c:axId val="631199671"/>
        <c:axId val="1431338523"/>
      </c:lineChart>
      <c:catAx>
        <c:axId val="631199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1338523"/>
      </c:catAx>
      <c:valAx>
        <c:axId val="1431338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3119967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Nb total pas /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Nb total pas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'Données'!$A$2:$A$29</c:f>
            </c:strRef>
          </c:cat>
          <c:val>
            <c:numRef>
              <c:f>'Données'!$B$2:$B$29</c:f>
              <c:numCache/>
            </c:numRef>
          </c:val>
          <c:smooth val="0"/>
        </c:ser>
        <c:axId val="812425629"/>
        <c:axId val="1519117496"/>
      </c:lineChart>
      <c:catAx>
        <c:axId val="812425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19117496"/>
      </c:catAx>
      <c:valAx>
        <c:axId val="1519117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Nb total pas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1242562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5</xdr:row>
      <xdr:rowOff>171450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5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409575</xdr:colOff>
      <xdr:row>5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523875</xdr:colOff>
      <xdr:row>0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3</xdr:row>
      <xdr:rowOff>38100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0</xdr:row>
      <xdr:rowOff>161925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</xdr:colOff>
      <xdr:row>0</xdr:row>
      <xdr:rowOff>161925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9" sheet="Données"/>
  </cacheSource>
  <cacheFields>
    <cacheField name="Date" numFmtId="164">
      <sharedItems containsSemiMixedTypes="0" containsDate="1" containsString="0"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</sharedItems>
    </cacheField>
    <cacheField name="Nb total pas" numFmtId="0">
      <sharedItems containsSemiMixedTypes="0" containsString="0" containsNumber="1" containsInteger="1">
        <n v="8372.0"/>
        <n v="4928.0"/>
        <n v="4941.0"/>
        <n v="9783.0"/>
        <n v="7994.0"/>
        <n v="7682.0"/>
        <n v="7881.0"/>
        <n v="2563.0"/>
        <n v="10337.0"/>
        <n v="9968.0"/>
        <n v="2068.0"/>
        <n v="3982.0"/>
        <n v="4084.0"/>
        <n v="2397.0"/>
        <n v="7468.0"/>
        <n v="7803.0"/>
        <n v="1484.0"/>
        <n v="3102.0"/>
        <n v="3673.0"/>
        <n v="7443.0"/>
        <n v="3848.0"/>
        <n v="5039.0"/>
        <n v="8666.0"/>
        <n v="7449.0"/>
        <n v="6033.0"/>
        <n v="10135.0"/>
        <n v="8109.0"/>
        <n v="6839.0"/>
      </sharedItems>
    </cacheField>
    <cacheField name="Fréquence cardiaque au repos" numFmtId="0">
      <sharedItems containsSemiMixedTypes="0" containsString="0" containsNumber="1" containsInteger="1">
        <n v="68.0"/>
        <n v="67.0"/>
      </sharedItems>
    </cacheField>
    <cacheField name="Symptômes" numFmtId="0">
      <sharedItems>
        <s v="Aucun"/>
        <s v="Mal de tête"/>
        <s v="Fatigue"/>
        <s v="Nausée"/>
      </sharedItems>
    </cacheField>
    <cacheField name="Vélo" numFmtId="0">
      <sharedItems>
        <s v="Non"/>
        <s v="Oui"/>
      </sharedItems>
    </cacheField>
    <cacheField name="Humeur" numFmtId="0">
      <sharedItems>
        <s v="Excellente"/>
        <s v="Mauvaise"/>
        <s v="Moyenne"/>
        <s v="Bonne"/>
        <s v="Horrible"/>
      </sharedItems>
    </cacheField>
    <cacheField name="Bon pour la santé ?" numFmtId="0">
      <sharedItems>
        <s v="Oui"/>
        <s v="Non"/>
      </sharedItems>
    </cacheField>
    <cacheField name="Consistant ?" numFmtId="0">
      <sharedItems>
        <s v="Oui"/>
        <s v="Non"/>
      </sharedItems>
    </cacheField>
    <cacheField name="Dépenses" numFmtId="0">
      <sharedItems containsSemiMixedTypes="0" containsString="0" containsNumber="1">
        <n v="12.1"/>
        <n v="5.45"/>
        <n v="2.01"/>
        <n v="12.5"/>
        <n v="0.0"/>
        <n v="7.44"/>
        <n v="13.34"/>
        <n v="7.18"/>
        <n v="12.8"/>
        <n v="10.37"/>
        <n v="11.0"/>
        <n v="8.4"/>
        <n v="10.2"/>
        <n v="9.8"/>
        <n v="10.7"/>
        <n v="8.3"/>
        <n v="5.0"/>
        <n v="11.3"/>
        <n v="7.73"/>
        <n v="13.72"/>
        <n v="8.99"/>
      </sharedItems>
    </cacheField>
    <cacheField name="Calories" numFmtId="0">
      <sharedItems containsSemiMixedTypes="0" containsString="0" containsNumber="1" containsInteger="1">
        <n v="2228.0"/>
        <n v="1913.0"/>
        <n v="1829.0"/>
        <n v="2288.0"/>
        <n v="2145.0"/>
        <n v="2125.0"/>
        <n v="2238.0"/>
        <n v="1625.0"/>
        <n v="2388.0"/>
        <n v="2365.0"/>
        <n v="1700.0"/>
        <n v="1816.0"/>
        <n v="1785.0"/>
        <n v="1607.0"/>
        <n v="2123.0"/>
        <n v="2207.0"/>
        <n v="1639.0"/>
        <n v="1858.0"/>
        <n v="1730.0"/>
        <n v="2126.0"/>
        <n v="1806.0"/>
        <n v="1851.0"/>
        <n v="2153.0"/>
        <n v="2115.0"/>
        <n v="1976.0"/>
        <n v="2397.0"/>
        <n v="2131.0"/>
        <n v="1988.0"/>
      </sharedItems>
    </cacheField>
    <cacheField name="Temps de sommeil total (en min.)" numFmtId="0">
      <sharedItems containsSemiMixedTypes="0" containsString="0" containsNumber="1" containsInteger="1">
        <n v="535.0"/>
        <n v="520.0"/>
        <n v="506.0"/>
        <n v="390.0"/>
        <n v="377.0"/>
        <n v="523.0"/>
        <n v="533.0"/>
        <n v="605.0"/>
        <n v="467.0"/>
        <n v="298.0"/>
        <n v="286.0"/>
        <n v="505.0"/>
        <n v="497.0"/>
        <n v="490.0"/>
        <n v="484.0"/>
        <n v="333.0"/>
        <n v="353.0"/>
        <n v="450.0"/>
        <n v="507.0"/>
        <n v="602.0"/>
        <n v="393.0"/>
        <n v="302.0"/>
        <n v="339.0"/>
        <n v="453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9" sheet="Données"/>
  </cacheSource>
  <cacheFields>
    <cacheField name="Date" numFmtId="164">
      <sharedItems containsSemiMixedTypes="0" containsDate="1" containsString="0"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</sharedItems>
    </cacheField>
    <cacheField name="Nb total pas" numFmtId="0">
      <sharedItems containsSemiMixedTypes="0" containsString="0" containsNumber="1" containsInteger="1">
        <n v="8372.0"/>
        <n v="4928.0"/>
        <n v="4941.0"/>
        <n v="9783.0"/>
        <n v="7994.0"/>
        <n v="7682.0"/>
        <n v="7881.0"/>
        <n v="2563.0"/>
        <n v="10337.0"/>
        <n v="9968.0"/>
        <n v="2068.0"/>
        <n v="3982.0"/>
        <n v="4084.0"/>
        <n v="2397.0"/>
        <n v="7468.0"/>
        <n v="7803.0"/>
        <n v="1484.0"/>
        <n v="3102.0"/>
        <n v="3673.0"/>
        <n v="7443.0"/>
        <n v="3848.0"/>
        <n v="5039.0"/>
        <n v="8666.0"/>
        <n v="7449.0"/>
        <n v="6033.0"/>
        <n v="10135.0"/>
        <n v="8109.0"/>
        <n v="6839.0"/>
      </sharedItems>
    </cacheField>
    <cacheField name="Fréquence cardiaque au repos" numFmtId="0">
      <sharedItems containsSemiMixedTypes="0" containsString="0" containsNumber="1" containsInteger="1">
        <n v="68.0"/>
        <n v="67.0"/>
      </sharedItems>
    </cacheField>
    <cacheField name="Symptômes" numFmtId="0">
      <sharedItems>
        <s v="Aucun"/>
        <s v="Mal de tête"/>
        <s v="Fatigue"/>
        <s v="Nausée"/>
      </sharedItems>
    </cacheField>
    <cacheField name="Vélo" numFmtId="0">
      <sharedItems>
        <s v="Non"/>
        <s v="Oui"/>
      </sharedItems>
    </cacheField>
    <cacheField name="Humeur" numFmtId="0">
      <sharedItems>
        <s v="Excellente"/>
        <s v="Mauvaise"/>
        <s v="Moyenne"/>
        <s v="Bonne"/>
        <s v="Horrible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9" sheet="Données"/>
  </cacheSource>
  <cacheFields>
    <cacheField name="Date" numFmtId="164">
      <sharedItems containsSemiMixedTypes="0" containsDate="1" containsString="0"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</sharedItems>
    </cacheField>
    <cacheField name="Nb total pas" numFmtId="0">
      <sharedItems containsSemiMixedTypes="0" containsString="0" containsNumber="1" containsInteger="1">
        <n v="8372.0"/>
        <n v="4928.0"/>
        <n v="4941.0"/>
        <n v="9783.0"/>
        <n v="7994.0"/>
        <n v="7682.0"/>
        <n v="7881.0"/>
        <n v="2563.0"/>
        <n v="10337.0"/>
        <n v="9968.0"/>
        <n v="2068.0"/>
        <n v="3982.0"/>
        <n v="4084.0"/>
        <n v="2397.0"/>
        <n v="7468.0"/>
        <n v="7803.0"/>
        <n v="1484.0"/>
        <n v="3102.0"/>
        <n v="3673.0"/>
        <n v="7443.0"/>
        <n v="3848.0"/>
        <n v="5039.0"/>
        <n v="8666.0"/>
        <n v="7449.0"/>
        <n v="6033.0"/>
        <n v="10135.0"/>
        <n v="8109.0"/>
        <n v="6839.0"/>
      </sharedItems>
    </cacheField>
    <cacheField name="Fréquence cardiaque au repos" numFmtId="0">
      <sharedItems containsSemiMixedTypes="0" containsString="0" containsNumber="1" containsInteger="1">
        <n v="68.0"/>
        <n v="67.0"/>
      </sharedItems>
    </cacheField>
    <cacheField name="Symptômes" numFmtId="0">
      <sharedItems>
        <s v="Aucun"/>
        <s v="Mal de tête"/>
        <s v="Fatigue"/>
        <s v="Nausée"/>
      </sharedItems>
    </cacheField>
    <cacheField name="Vélo" numFmtId="0">
      <sharedItems>
        <s v="Non"/>
        <s v="Oui"/>
      </sharedItems>
    </cacheField>
    <cacheField name="Humeur" numFmtId="0">
      <sharedItems>
        <s v="Excellente"/>
        <s v="Mauvaise"/>
        <s v="Moyenne"/>
        <s v="Bonne"/>
        <s v="Horrible"/>
      </sharedItems>
    </cacheField>
    <cacheField name="Bon pour la santé ?" numFmtId="0">
      <sharedItems>
        <s v="Oui"/>
        <s v="Non"/>
      </sharedItems>
    </cacheField>
    <cacheField name="Consistant ?" numFmtId="0">
      <sharedItems>
        <s v="Oui"/>
        <s v="Non"/>
      </sharedItems>
    </cacheField>
    <cacheField name="Dépenses" numFmtId="0">
      <sharedItems containsSemiMixedTypes="0" containsString="0" containsNumber="1">
        <n v="12.1"/>
        <n v="5.45"/>
        <n v="2.01"/>
        <n v="12.5"/>
        <n v="0.0"/>
        <n v="7.44"/>
        <n v="13.34"/>
        <n v="7.18"/>
        <n v="12.8"/>
        <n v="10.37"/>
        <n v="11.0"/>
        <n v="8.4"/>
        <n v="10.2"/>
        <n v="9.8"/>
        <n v="10.7"/>
        <n v="8.3"/>
        <n v="5.0"/>
        <n v="11.3"/>
        <n v="7.73"/>
        <n v="13.72"/>
        <n v="8.99"/>
      </sharedItems>
    </cacheField>
    <cacheField name="Calories" numFmtId="0">
      <sharedItems containsSemiMixedTypes="0" containsString="0" containsNumber="1" containsInteger="1">
        <n v="2228.0"/>
        <n v="1913.0"/>
        <n v="1829.0"/>
        <n v="2288.0"/>
        <n v="2145.0"/>
        <n v="2125.0"/>
        <n v="2238.0"/>
        <n v="1625.0"/>
        <n v="2388.0"/>
        <n v="2365.0"/>
        <n v="1700.0"/>
        <n v="1816.0"/>
        <n v="1785.0"/>
        <n v="1607.0"/>
        <n v="2123.0"/>
        <n v="2207.0"/>
        <n v="1639.0"/>
        <n v="1858.0"/>
        <n v="1730.0"/>
        <n v="2126.0"/>
        <n v="1806.0"/>
        <n v="1851.0"/>
        <n v="2153.0"/>
        <n v="2115.0"/>
        <n v="1976.0"/>
        <n v="2397.0"/>
        <n v="2131.0"/>
        <n v="198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eau croisé dynamique 2" cacheId="0" dataCaption="" compact="0" compactData="0">
  <location ref="A1:B30" firstHeaderRow="0" firstDataRow="1" firstDataCol="0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Nb total p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Fréquence cardiaque au repos" compact="0" outline="0" multipleItemSelectionAllowed="1" showAll="0">
      <items>
        <item x="0"/>
        <item x="1"/>
        <item t="default"/>
      </items>
    </pivotField>
    <pivotField name="Symptômes" compact="0" outline="0" multipleItemSelectionAllowed="1" showAll="0">
      <items>
        <item x="0"/>
        <item x="1"/>
        <item x="2"/>
        <item x="3"/>
        <item t="default"/>
      </items>
    </pivotField>
    <pivotField name="Vélo" compact="0" outline="0" multipleItemSelectionAllowed="1" showAll="0">
      <items>
        <item x="0"/>
        <item x="1"/>
        <item t="default"/>
      </items>
    </pivotField>
    <pivotField name="Humeu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 pour la santé ?" compact="0" outline="0" multipleItemSelectionAllowed="1" showAll="0">
      <items>
        <item x="0"/>
        <item x="1"/>
        <item t="default"/>
      </items>
    </pivotField>
    <pivotField name="Consistant ?" compact="0" outline="0" multipleItemSelectionAllowed="1" showAll="0">
      <items>
        <item x="0"/>
        <item x="1"/>
        <item t="default"/>
      </items>
    </pivotField>
    <pivotField name="Dé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alor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emps de sommeil total (en min.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0"/>
  </rowFields>
  <dataFields>
    <dataField name="SUM of Calories" fld="9" baseField="0"/>
  </dataFields>
</pivotTableDefinition>
</file>

<file path=xl/pivotTables/pivotTable2.xml><?xml version="1.0" encoding="utf-8"?>
<pivotTableDefinition xmlns="http://schemas.openxmlformats.org/spreadsheetml/2006/main" name="Analyse qualitative 1" cacheId="1" dataCaption="" compact="0" compactData="0">
  <location ref="A1:B7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Nb total p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Fréquence cardiaque au repos" compact="0" outline="0" multipleItemSelectionAllowed="1" showAll="0">
      <items>
        <item x="0"/>
        <item x="1"/>
        <item t="default"/>
      </items>
    </pivotField>
    <pivotField name="Symptômes" compact="0" outline="0" multipleItemSelectionAllowed="1" showAll="0">
      <items>
        <item x="0"/>
        <item x="1"/>
        <item x="2"/>
        <item x="3"/>
        <item t="default"/>
      </items>
    </pivotField>
    <pivotField name="Vélo" compact="0" outline="0" multipleItemSelectionAllowed="1" showAll="0">
      <items>
        <item x="0"/>
        <item x="1"/>
        <item t="default"/>
      </items>
    </pivotField>
    <pivotField name="Humeur" axis="axisRow" dataField="1" compact="0" outline="0" multipleItemSelectionAllowed="1" showAll="0" sortType="ascending">
      <items>
        <item x="3"/>
        <item x="0"/>
        <item x="4"/>
        <item x="1"/>
        <item x="2"/>
        <item t="default"/>
      </items>
    </pivotField>
  </pivotFields>
  <rowFields>
    <field x="5"/>
  </rowFields>
  <dataFields>
    <dataField name="COUNTA of Humeur" fld="5" subtotal="count" baseField="0"/>
  </dataFields>
</pivotTableDefinition>
</file>

<file path=xl/pivotTables/pivotTable3.xml><?xml version="1.0" encoding="utf-8"?>
<pivotTableDefinition xmlns="http://schemas.openxmlformats.org/spreadsheetml/2006/main" name="Analyse qualitative 2" cacheId="2" dataCaption="" compact="0" compactData="0">
  <location ref="A1:B7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Nb total p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Fréquence cardiaque au repos" compact="0" outline="0" multipleItemSelectionAllowed="1" showAll="0">
      <items>
        <item x="0"/>
        <item x="1"/>
        <item t="default"/>
      </items>
    </pivotField>
    <pivotField name="Symptômes" compact="0" outline="0" multipleItemSelectionAllowed="1" showAll="0">
      <items>
        <item x="0"/>
        <item x="1"/>
        <item x="2"/>
        <item x="3"/>
        <item t="default"/>
      </items>
    </pivotField>
    <pivotField name="Vélo" compact="0" outline="0" multipleItemSelectionAllowed="1" showAll="0">
      <items>
        <item x="0"/>
        <item x="1"/>
        <item t="default"/>
      </items>
    </pivotField>
    <pivotField name="Humeur" axis="axisRow" compact="0" outline="0" multipleItemSelectionAllowed="1" showAll="0" sortType="ascending">
      <items>
        <item x="3"/>
        <item x="0"/>
        <item x="4"/>
        <item x="1"/>
        <item x="2"/>
        <item t="default"/>
      </items>
    </pivotField>
    <pivotField name="Bon pour la santé ?" compact="0" outline="0" multipleItemSelectionAllowed="1" showAll="0">
      <items>
        <item x="0"/>
        <item x="1"/>
        <item t="default"/>
      </items>
    </pivotField>
    <pivotField name="Consistant ?" compact="0" outline="0" multipleItemSelectionAllowed="1" showAll="0">
      <items>
        <item x="0"/>
        <item x="1"/>
        <item t="default"/>
      </items>
    </pivotField>
    <pivotField name="Dépens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alo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5"/>
  </rowFields>
  <dataFields>
    <dataField name="COUNTA of Dépenses" fld="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0.75"/>
    <col customWidth="1" min="3" max="3" width="25.13"/>
    <col customWidth="1" min="4" max="4" width="10.5"/>
    <col customWidth="1" min="5" max="5" width="4.5"/>
    <col customWidth="1" min="6" max="6" width="8.75"/>
    <col customWidth="1" min="7" max="7" width="16.5"/>
    <col customWidth="1" min="8" max="8" width="11.13"/>
    <col customWidth="1" min="9" max="9" width="8.88"/>
    <col customWidth="1" min="10" max="10" width="7.63"/>
    <col customWidth="1" min="11" max="11" width="27.25"/>
    <col customWidth="1" min="12" max="12" width="23.25"/>
    <col customWidth="1" min="13" max="13" width="9.38"/>
    <col customWidth="1" min="14" max="14" width="13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 ht="15.75" customHeight="1">
      <c r="A2" s="4">
        <v>44593.0</v>
      </c>
      <c r="B2" s="5">
        <v>8372.0</v>
      </c>
      <c r="C2" s="5">
        <v>68.0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17</v>
      </c>
      <c r="I2" s="5">
        <v>12.1</v>
      </c>
      <c r="J2" s="5">
        <v>2228.0</v>
      </c>
      <c r="K2" s="5">
        <v>535.0</v>
      </c>
      <c r="L2" s="5">
        <v>557.0</v>
      </c>
      <c r="M2" s="6">
        <f t="shared" ref="M2:M29" si="1">K2/L2</f>
        <v>0.960502693</v>
      </c>
    </row>
    <row r="3" ht="15.75" customHeight="1">
      <c r="A3" s="4">
        <v>44594.0</v>
      </c>
      <c r="B3" s="5">
        <v>4928.0</v>
      </c>
      <c r="C3" s="5">
        <v>67.0</v>
      </c>
      <c r="D3" s="5" t="s">
        <v>18</v>
      </c>
      <c r="E3" s="5" t="s">
        <v>17</v>
      </c>
      <c r="F3" s="5" t="s">
        <v>19</v>
      </c>
      <c r="G3" s="5" t="s">
        <v>15</v>
      </c>
      <c r="H3" s="5" t="s">
        <v>17</v>
      </c>
      <c r="I3" s="5">
        <v>5.45</v>
      </c>
      <c r="J3" s="5">
        <v>1913.0</v>
      </c>
      <c r="K3" s="5">
        <v>520.0</v>
      </c>
      <c r="L3" s="5">
        <v>529.0</v>
      </c>
      <c r="M3" s="6">
        <f t="shared" si="1"/>
        <v>0.9829867675</v>
      </c>
    </row>
    <row r="4" ht="15.75" customHeight="1">
      <c r="A4" s="4">
        <v>44595.0</v>
      </c>
      <c r="B4" s="5">
        <v>4941.0</v>
      </c>
      <c r="C4" s="5">
        <v>67.0</v>
      </c>
      <c r="D4" s="5" t="s">
        <v>20</v>
      </c>
      <c r="E4" s="5" t="s">
        <v>15</v>
      </c>
      <c r="F4" s="5" t="s">
        <v>21</v>
      </c>
      <c r="G4" s="5" t="s">
        <v>17</v>
      </c>
      <c r="H4" s="5" t="s">
        <v>17</v>
      </c>
      <c r="I4" s="5">
        <v>2.01</v>
      </c>
      <c r="J4" s="5">
        <v>1829.0</v>
      </c>
      <c r="K4" s="5">
        <v>506.0</v>
      </c>
      <c r="L4" s="5">
        <v>522.0</v>
      </c>
      <c r="M4" s="6">
        <f t="shared" si="1"/>
        <v>0.969348659</v>
      </c>
    </row>
    <row r="5" ht="15.75" customHeight="1">
      <c r="A5" s="4">
        <v>44596.0</v>
      </c>
      <c r="B5" s="5">
        <v>9783.0</v>
      </c>
      <c r="C5" s="5">
        <v>68.0</v>
      </c>
      <c r="D5" s="5" t="s">
        <v>14</v>
      </c>
      <c r="E5" s="5" t="s">
        <v>15</v>
      </c>
      <c r="F5" s="5" t="s">
        <v>22</v>
      </c>
      <c r="G5" s="5" t="s">
        <v>17</v>
      </c>
      <c r="H5" s="5" t="s">
        <v>17</v>
      </c>
      <c r="I5" s="5">
        <v>12.5</v>
      </c>
      <c r="J5" s="5">
        <v>2288.0</v>
      </c>
      <c r="K5" s="5">
        <v>390.0</v>
      </c>
      <c r="L5" s="5">
        <v>409.0</v>
      </c>
      <c r="M5" s="6">
        <f t="shared" si="1"/>
        <v>0.9535452323</v>
      </c>
    </row>
    <row r="6" ht="15.75" customHeight="1">
      <c r="A6" s="4">
        <v>44597.0</v>
      </c>
      <c r="B6" s="5">
        <v>7994.0</v>
      </c>
      <c r="C6" s="5">
        <v>67.0</v>
      </c>
      <c r="D6" s="5" t="s">
        <v>14</v>
      </c>
      <c r="E6" s="5" t="s">
        <v>15</v>
      </c>
      <c r="F6" s="5" t="s">
        <v>22</v>
      </c>
      <c r="G6" s="5" t="s">
        <v>17</v>
      </c>
      <c r="H6" s="5" t="s">
        <v>17</v>
      </c>
      <c r="I6" s="5">
        <v>0.0</v>
      </c>
      <c r="J6" s="5">
        <v>2145.0</v>
      </c>
      <c r="K6" s="5">
        <v>377.0</v>
      </c>
      <c r="L6" s="5">
        <v>387.0</v>
      </c>
      <c r="M6" s="6">
        <f t="shared" si="1"/>
        <v>0.9741602067</v>
      </c>
      <c r="N6" s="5">
        <f t="shared" ref="N6:N29" si="2">AVERAGE(B2:B6)</f>
        <v>7203.6</v>
      </c>
    </row>
    <row r="7" ht="15.75" customHeight="1">
      <c r="A7" s="4">
        <v>44598.0</v>
      </c>
      <c r="B7" s="5">
        <v>7682.0</v>
      </c>
      <c r="C7" s="5">
        <v>67.0</v>
      </c>
      <c r="D7" s="5" t="s">
        <v>14</v>
      </c>
      <c r="E7" s="5" t="s">
        <v>15</v>
      </c>
      <c r="F7" s="5" t="s">
        <v>22</v>
      </c>
      <c r="G7" s="5" t="s">
        <v>17</v>
      </c>
      <c r="H7" s="5" t="s">
        <v>17</v>
      </c>
      <c r="I7" s="5">
        <v>0.0</v>
      </c>
      <c r="J7" s="5">
        <v>2125.0</v>
      </c>
      <c r="K7" s="5">
        <v>523.0</v>
      </c>
      <c r="L7" s="5">
        <v>543.0</v>
      </c>
      <c r="M7" s="6">
        <f t="shared" si="1"/>
        <v>0.9631675875</v>
      </c>
      <c r="N7" s="5">
        <f t="shared" si="2"/>
        <v>7065.6</v>
      </c>
    </row>
    <row r="8" ht="15.75" customHeight="1">
      <c r="A8" s="4">
        <v>44599.0</v>
      </c>
      <c r="B8" s="5">
        <v>7881.0</v>
      </c>
      <c r="C8" s="5">
        <v>68.0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17</v>
      </c>
      <c r="I8" s="5">
        <v>7.44</v>
      </c>
      <c r="J8" s="5">
        <v>2238.0</v>
      </c>
      <c r="K8" s="5">
        <v>523.0</v>
      </c>
      <c r="L8" s="5">
        <v>543.0</v>
      </c>
      <c r="M8" s="6">
        <f t="shared" si="1"/>
        <v>0.9631675875</v>
      </c>
      <c r="N8" s="5">
        <f t="shared" si="2"/>
        <v>7656.2</v>
      </c>
    </row>
    <row r="9" ht="15.75" customHeight="1">
      <c r="A9" s="4">
        <v>44600.0</v>
      </c>
      <c r="B9" s="5">
        <v>2563.0</v>
      </c>
      <c r="C9" s="5">
        <v>68.0</v>
      </c>
      <c r="D9" s="5" t="s">
        <v>18</v>
      </c>
      <c r="E9" s="5" t="s">
        <v>15</v>
      </c>
      <c r="F9" s="5" t="s">
        <v>23</v>
      </c>
      <c r="G9" s="5" t="s">
        <v>15</v>
      </c>
      <c r="H9" s="5" t="s">
        <v>17</v>
      </c>
      <c r="I9" s="5">
        <v>13.34</v>
      </c>
      <c r="J9" s="5">
        <v>1625.0</v>
      </c>
      <c r="K9" s="5">
        <v>533.0</v>
      </c>
      <c r="L9" s="5">
        <v>550.0</v>
      </c>
      <c r="M9" s="6">
        <f t="shared" si="1"/>
        <v>0.9690909091</v>
      </c>
      <c r="N9" s="5">
        <f t="shared" si="2"/>
        <v>7180.6</v>
      </c>
    </row>
    <row r="10" ht="15.75" customHeight="1">
      <c r="A10" s="4">
        <v>44601.0</v>
      </c>
      <c r="B10" s="5">
        <v>10337.0</v>
      </c>
      <c r="C10" s="5">
        <v>68.0</v>
      </c>
      <c r="D10" s="5" t="s">
        <v>24</v>
      </c>
      <c r="E10" s="5" t="s">
        <v>15</v>
      </c>
      <c r="F10" s="5" t="s">
        <v>16</v>
      </c>
      <c r="G10" s="5" t="s">
        <v>17</v>
      </c>
      <c r="H10" s="5" t="s">
        <v>17</v>
      </c>
      <c r="I10" s="5">
        <v>7.18</v>
      </c>
      <c r="J10" s="5">
        <v>2388.0</v>
      </c>
      <c r="K10" s="5">
        <v>605.0</v>
      </c>
      <c r="L10" s="5">
        <v>615.0</v>
      </c>
      <c r="M10" s="6">
        <f t="shared" si="1"/>
        <v>0.9837398374</v>
      </c>
      <c r="N10" s="5">
        <f t="shared" si="2"/>
        <v>7291.4</v>
      </c>
    </row>
    <row r="11" ht="15.75" customHeight="1">
      <c r="A11" s="4">
        <v>44602.0</v>
      </c>
      <c r="B11" s="5">
        <v>9968.0</v>
      </c>
      <c r="C11" s="5">
        <v>68.0</v>
      </c>
      <c r="D11" s="5" t="s">
        <v>14</v>
      </c>
      <c r="E11" s="5" t="s">
        <v>15</v>
      </c>
      <c r="F11" s="5" t="s">
        <v>16</v>
      </c>
      <c r="G11" s="5" t="s">
        <v>17</v>
      </c>
      <c r="H11" s="5" t="s">
        <v>17</v>
      </c>
      <c r="I11" s="5">
        <v>0.0</v>
      </c>
      <c r="J11" s="5">
        <v>2365.0</v>
      </c>
      <c r="K11" s="5">
        <v>467.0</v>
      </c>
      <c r="L11" s="5">
        <v>501.0</v>
      </c>
      <c r="M11" s="6">
        <f t="shared" si="1"/>
        <v>0.9321357285</v>
      </c>
      <c r="N11" s="5">
        <f t="shared" si="2"/>
        <v>7686.2</v>
      </c>
    </row>
    <row r="12" ht="15.75" customHeight="1">
      <c r="A12" s="4">
        <v>44603.0</v>
      </c>
      <c r="B12" s="5">
        <v>2068.0</v>
      </c>
      <c r="C12" s="5">
        <v>67.0</v>
      </c>
      <c r="D12" s="5" t="s">
        <v>14</v>
      </c>
      <c r="E12" s="5" t="s">
        <v>15</v>
      </c>
      <c r="F12" s="5" t="s">
        <v>22</v>
      </c>
      <c r="G12" s="5" t="s">
        <v>17</v>
      </c>
      <c r="H12" s="5" t="s">
        <v>17</v>
      </c>
      <c r="I12" s="5">
        <v>12.8</v>
      </c>
      <c r="J12" s="5">
        <v>1700.0</v>
      </c>
      <c r="K12" s="5">
        <v>298.0</v>
      </c>
      <c r="L12" s="5">
        <v>313.0</v>
      </c>
      <c r="M12" s="6">
        <f t="shared" si="1"/>
        <v>0.9520766773</v>
      </c>
      <c r="N12" s="5">
        <f t="shared" si="2"/>
        <v>6563.4</v>
      </c>
    </row>
    <row r="13" ht="15.75" customHeight="1">
      <c r="A13" s="4">
        <v>44604.0</v>
      </c>
      <c r="B13" s="5">
        <v>3982.0</v>
      </c>
      <c r="C13" s="5">
        <v>68.0</v>
      </c>
      <c r="D13" s="5" t="s">
        <v>14</v>
      </c>
      <c r="E13" s="5" t="s">
        <v>15</v>
      </c>
      <c r="F13" s="5" t="s">
        <v>22</v>
      </c>
      <c r="G13" s="5" t="s">
        <v>17</v>
      </c>
      <c r="H13" s="5" t="s">
        <v>17</v>
      </c>
      <c r="I13" s="5">
        <v>10.37</v>
      </c>
      <c r="J13" s="5">
        <v>1816.0</v>
      </c>
      <c r="K13" s="5">
        <v>286.0</v>
      </c>
      <c r="L13" s="5">
        <v>307.0</v>
      </c>
      <c r="M13" s="6">
        <f t="shared" si="1"/>
        <v>0.9315960912</v>
      </c>
      <c r="N13" s="5">
        <f t="shared" si="2"/>
        <v>5783.6</v>
      </c>
    </row>
    <row r="14" ht="15.75" customHeight="1">
      <c r="A14" s="4">
        <v>44605.0</v>
      </c>
      <c r="B14" s="5">
        <v>4084.0</v>
      </c>
      <c r="C14" s="5">
        <v>67.0</v>
      </c>
      <c r="D14" s="5" t="s">
        <v>14</v>
      </c>
      <c r="E14" s="5" t="s">
        <v>15</v>
      </c>
      <c r="F14" s="5" t="s">
        <v>22</v>
      </c>
      <c r="G14" s="5" t="s">
        <v>17</v>
      </c>
      <c r="H14" s="5" t="s">
        <v>17</v>
      </c>
      <c r="I14" s="5">
        <v>0.0</v>
      </c>
      <c r="J14" s="5">
        <v>1785.0</v>
      </c>
      <c r="K14" s="5">
        <v>505.0</v>
      </c>
      <c r="L14" s="5">
        <v>516.0</v>
      </c>
      <c r="M14" s="6">
        <f t="shared" si="1"/>
        <v>0.9786821705</v>
      </c>
      <c r="N14" s="5">
        <f t="shared" si="2"/>
        <v>6087.8</v>
      </c>
    </row>
    <row r="15" ht="15.75" customHeight="1">
      <c r="A15" s="4">
        <v>44606.0</v>
      </c>
      <c r="B15" s="5">
        <v>2397.0</v>
      </c>
      <c r="C15" s="5">
        <v>67.0</v>
      </c>
      <c r="D15" s="5" t="s">
        <v>14</v>
      </c>
      <c r="E15" s="5" t="s">
        <v>17</v>
      </c>
      <c r="F15" s="5" t="s">
        <v>19</v>
      </c>
      <c r="G15" s="5" t="s">
        <v>15</v>
      </c>
      <c r="H15" s="5" t="s">
        <v>17</v>
      </c>
      <c r="I15" s="5">
        <v>11.0</v>
      </c>
      <c r="J15" s="5">
        <v>1607.0</v>
      </c>
      <c r="K15" s="5">
        <v>497.0</v>
      </c>
      <c r="L15" s="5">
        <v>522.0</v>
      </c>
      <c r="M15" s="6">
        <f t="shared" si="1"/>
        <v>0.9521072797</v>
      </c>
      <c r="N15" s="5">
        <f t="shared" si="2"/>
        <v>4499.8</v>
      </c>
    </row>
    <row r="16" ht="15.75" customHeight="1">
      <c r="A16" s="4">
        <v>44607.0</v>
      </c>
      <c r="B16" s="5">
        <v>7468.0</v>
      </c>
      <c r="C16" s="5">
        <v>67.0</v>
      </c>
      <c r="D16" s="5" t="s">
        <v>14</v>
      </c>
      <c r="E16" s="5" t="s">
        <v>17</v>
      </c>
      <c r="F16" s="5" t="s">
        <v>16</v>
      </c>
      <c r="G16" s="5" t="s">
        <v>17</v>
      </c>
      <c r="H16" s="5" t="s">
        <v>17</v>
      </c>
      <c r="I16" s="5">
        <v>8.4</v>
      </c>
      <c r="J16" s="5">
        <v>2123.0</v>
      </c>
      <c r="K16" s="5">
        <v>523.0</v>
      </c>
      <c r="L16" s="5">
        <v>546.0</v>
      </c>
      <c r="M16" s="6">
        <f t="shared" si="1"/>
        <v>0.9578754579</v>
      </c>
      <c r="N16" s="5">
        <f t="shared" si="2"/>
        <v>3999.8</v>
      </c>
    </row>
    <row r="17" ht="15.75" customHeight="1">
      <c r="A17" s="4">
        <v>44608.0</v>
      </c>
      <c r="B17" s="5">
        <v>7803.0</v>
      </c>
      <c r="C17" s="5">
        <v>67.0</v>
      </c>
      <c r="D17" s="5" t="s">
        <v>14</v>
      </c>
      <c r="E17" s="5" t="s">
        <v>17</v>
      </c>
      <c r="F17" s="5" t="s">
        <v>16</v>
      </c>
      <c r="G17" s="5" t="s">
        <v>17</v>
      </c>
      <c r="H17" s="5" t="s">
        <v>17</v>
      </c>
      <c r="I17" s="5">
        <v>10.2</v>
      </c>
      <c r="J17" s="5">
        <v>2207.0</v>
      </c>
      <c r="K17" s="5">
        <v>490.0</v>
      </c>
      <c r="L17" s="5">
        <v>516.0</v>
      </c>
      <c r="M17" s="6">
        <f t="shared" si="1"/>
        <v>0.9496124031</v>
      </c>
      <c r="N17" s="5">
        <f t="shared" si="2"/>
        <v>5146.8</v>
      </c>
    </row>
    <row r="18" ht="15.75" customHeight="1">
      <c r="A18" s="4">
        <v>44609.0</v>
      </c>
      <c r="B18" s="5">
        <v>1484.0</v>
      </c>
      <c r="C18" s="5">
        <v>68.0</v>
      </c>
      <c r="D18" s="5" t="s">
        <v>14</v>
      </c>
      <c r="E18" s="5" t="s">
        <v>15</v>
      </c>
      <c r="F18" s="5" t="s">
        <v>22</v>
      </c>
      <c r="G18" s="5" t="s">
        <v>17</v>
      </c>
      <c r="H18" s="5" t="s">
        <v>17</v>
      </c>
      <c r="I18" s="5">
        <v>9.8</v>
      </c>
      <c r="J18" s="5">
        <v>1639.0</v>
      </c>
      <c r="K18" s="5">
        <v>484.0</v>
      </c>
      <c r="L18" s="5">
        <v>500.0</v>
      </c>
      <c r="M18" s="6">
        <f t="shared" si="1"/>
        <v>0.968</v>
      </c>
      <c r="N18" s="5">
        <f t="shared" si="2"/>
        <v>4647.2</v>
      </c>
    </row>
    <row r="19" ht="15.75" customHeight="1">
      <c r="A19" s="4">
        <v>44610.0</v>
      </c>
      <c r="B19" s="5">
        <v>3102.0</v>
      </c>
      <c r="C19" s="5">
        <v>67.0</v>
      </c>
      <c r="D19" s="5" t="s">
        <v>20</v>
      </c>
      <c r="E19" s="5" t="s">
        <v>15</v>
      </c>
      <c r="F19" s="5" t="s">
        <v>19</v>
      </c>
      <c r="G19" s="5" t="s">
        <v>17</v>
      </c>
      <c r="H19" s="5" t="s">
        <v>15</v>
      </c>
      <c r="I19" s="5">
        <v>10.7</v>
      </c>
      <c r="J19" s="5">
        <v>1858.0</v>
      </c>
      <c r="K19" s="5">
        <v>333.0</v>
      </c>
      <c r="L19" s="5">
        <v>339.0</v>
      </c>
      <c r="M19" s="6">
        <f t="shared" si="1"/>
        <v>0.982300885</v>
      </c>
      <c r="N19" s="5">
        <f t="shared" si="2"/>
        <v>4450.8</v>
      </c>
    </row>
    <row r="20" ht="15.75" customHeight="1">
      <c r="A20" s="4">
        <v>44611.0</v>
      </c>
      <c r="B20" s="5">
        <v>3673.0</v>
      </c>
      <c r="C20" s="5">
        <v>67.0</v>
      </c>
      <c r="D20" s="5" t="s">
        <v>20</v>
      </c>
      <c r="E20" s="5" t="s">
        <v>15</v>
      </c>
      <c r="F20" s="5" t="s">
        <v>19</v>
      </c>
      <c r="G20" s="5" t="s">
        <v>17</v>
      </c>
      <c r="H20" s="5" t="s">
        <v>15</v>
      </c>
      <c r="I20" s="5">
        <v>8.3</v>
      </c>
      <c r="J20" s="5">
        <v>1730.0</v>
      </c>
      <c r="K20" s="5">
        <v>353.0</v>
      </c>
      <c r="L20" s="5">
        <v>388.0</v>
      </c>
      <c r="M20" s="6">
        <f t="shared" si="1"/>
        <v>0.9097938144</v>
      </c>
      <c r="N20" s="5">
        <f t="shared" si="2"/>
        <v>4706</v>
      </c>
    </row>
    <row r="21" ht="15.75" customHeight="1">
      <c r="A21" s="4">
        <v>44612.0</v>
      </c>
      <c r="B21" s="5">
        <v>7443.0</v>
      </c>
      <c r="C21" s="5">
        <v>68.0</v>
      </c>
      <c r="D21" s="5" t="s">
        <v>14</v>
      </c>
      <c r="E21" s="5" t="s">
        <v>15</v>
      </c>
      <c r="F21" s="5" t="s">
        <v>16</v>
      </c>
      <c r="G21" s="5" t="s">
        <v>17</v>
      </c>
      <c r="H21" s="5" t="s">
        <v>17</v>
      </c>
      <c r="I21" s="5">
        <v>0.0</v>
      </c>
      <c r="J21" s="5">
        <v>2126.0</v>
      </c>
      <c r="K21" s="5">
        <v>450.0</v>
      </c>
      <c r="L21" s="5">
        <v>460.0</v>
      </c>
      <c r="M21" s="6">
        <f t="shared" si="1"/>
        <v>0.9782608696</v>
      </c>
      <c r="N21" s="5">
        <f t="shared" si="2"/>
        <v>4701</v>
      </c>
    </row>
    <row r="22" ht="15.75" customHeight="1">
      <c r="A22" s="4">
        <v>44613.0</v>
      </c>
      <c r="B22" s="5">
        <v>3848.0</v>
      </c>
      <c r="C22" s="5">
        <v>68.0</v>
      </c>
      <c r="D22" s="5" t="s">
        <v>14</v>
      </c>
      <c r="E22" s="5" t="s">
        <v>15</v>
      </c>
      <c r="F22" s="5" t="s">
        <v>16</v>
      </c>
      <c r="G22" s="5" t="s">
        <v>17</v>
      </c>
      <c r="H22" s="5" t="s">
        <v>17</v>
      </c>
      <c r="I22" s="5">
        <v>5.0</v>
      </c>
      <c r="J22" s="5">
        <v>1806.0</v>
      </c>
      <c r="K22" s="5">
        <v>507.0</v>
      </c>
      <c r="L22" s="5">
        <v>530.0</v>
      </c>
      <c r="M22" s="6">
        <f t="shared" si="1"/>
        <v>0.9566037736</v>
      </c>
      <c r="N22" s="5">
        <f t="shared" si="2"/>
        <v>3910</v>
      </c>
    </row>
    <row r="23" ht="15.75" customHeight="1">
      <c r="A23" s="4">
        <v>44614.0</v>
      </c>
      <c r="B23" s="5">
        <v>5039.0</v>
      </c>
      <c r="C23" s="5">
        <v>68.0</v>
      </c>
      <c r="D23" s="5" t="s">
        <v>14</v>
      </c>
      <c r="E23" s="5" t="s">
        <v>15</v>
      </c>
      <c r="F23" s="5" t="s">
        <v>16</v>
      </c>
      <c r="G23" s="5" t="s">
        <v>17</v>
      </c>
      <c r="H23" s="5" t="s">
        <v>17</v>
      </c>
      <c r="I23" s="5">
        <v>0.0</v>
      </c>
      <c r="J23" s="5">
        <v>1851.0</v>
      </c>
      <c r="K23" s="5">
        <v>602.0</v>
      </c>
      <c r="L23" s="5">
        <v>638.0</v>
      </c>
      <c r="M23" s="6">
        <f t="shared" si="1"/>
        <v>0.9435736677</v>
      </c>
      <c r="N23" s="5">
        <f t="shared" si="2"/>
        <v>4621</v>
      </c>
    </row>
    <row r="24" ht="15.75" customHeight="1">
      <c r="A24" s="4">
        <v>44615.0</v>
      </c>
      <c r="B24" s="5">
        <v>8666.0</v>
      </c>
      <c r="C24" s="5">
        <v>68.0</v>
      </c>
      <c r="D24" s="5" t="s">
        <v>14</v>
      </c>
      <c r="E24" s="5" t="s">
        <v>15</v>
      </c>
      <c r="F24" s="5" t="s">
        <v>16</v>
      </c>
      <c r="G24" s="5" t="s">
        <v>17</v>
      </c>
      <c r="H24" s="5" t="s">
        <v>17</v>
      </c>
      <c r="I24" s="5">
        <v>11.3</v>
      </c>
      <c r="J24" s="5">
        <v>2153.0</v>
      </c>
      <c r="K24" s="5">
        <v>535.0</v>
      </c>
      <c r="L24" s="5">
        <v>565.0</v>
      </c>
      <c r="M24" s="6">
        <f t="shared" si="1"/>
        <v>0.9469026549</v>
      </c>
      <c r="N24" s="5">
        <f t="shared" si="2"/>
        <v>5733.8</v>
      </c>
    </row>
    <row r="25" ht="15.75" customHeight="1">
      <c r="A25" s="4">
        <v>44616.0</v>
      </c>
      <c r="B25" s="5">
        <v>7449.0</v>
      </c>
      <c r="C25" s="5">
        <v>67.0</v>
      </c>
      <c r="D25" s="5" t="s">
        <v>14</v>
      </c>
      <c r="E25" s="5" t="s">
        <v>17</v>
      </c>
      <c r="F25" s="5" t="s">
        <v>22</v>
      </c>
      <c r="G25" s="5" t="s">
        <v>17</v>
      </c>
      <c r="H25" s="5" t="s">
        <v>17</v>
      </c>
      <c r="I25" s="5">
        <v>7.73</v>
      </c>
      <c r="J25" s="5">
        <v>2115.0</v>
      </c>
      <c r="K25" s="5">
        <v>393.0</v>
      </c>
      <c r="L25" s="5">
        <v>412.0</v>
      </c>
      <c r="M25" s="6">
        <f t="shared" si="1"/>
        <v>0.9538834951</v>
      </c>
      <c r="N25" s="5">
        <f t="shared" si="2"/>
        <v>6489</v>
      </c>
    </row>
    <row r="26" ht="15.75" customHeight="1">
      <c r="A26" s="4">
        <v>44617.0</v>
      </c>
      <c r="B26" s="5">
        <v>6033.0</v>
      </c>
      <c r="C26" s="5">
        <v>67.0</v>
      </c>
      <c r="D26" s="5" t="s">
        <v>14</v>
      </c>
      <c r="E26" s="5" t="s">
        <v>15</v>
      </c>
      <c r="F26" s="5" t="s">
        <v>22</v>
      </c>
      <c r="G26" s="5" t="s">
        <v>17</v>
      </c>
      <c r="H26" s="5" t="s">
        <v>17</v>
      </c>
      <c r="I26" s="5">
        <v>0.0</v>
      </c>
      <c r="J26" s="5">
        <v>1976.0</v>
      </c>
      <c r="K26" s="5">
        <v>302.0</v>
      </c>
      <c r="L26" s="5">
        <v>321.0</v>
      </c>
      <c r="M26" s="6">
        <f t="shared" si="1"/>
        <v>0.9408099688</v>
      </c>
      <c r="N26" s="5">
        <f t="shared" si="2"/>
        <v>6207</v>
      </c>
    </row>
    <row r="27" ht="15.75" customHeight="1">
      <c r="A27" s="4">
        <v>44618.0</v>
      </c>
      <c r="B27" s="5">
        <v>10135.0</v>
      </c>
      <c r="C27" s="5">
        <v>68.0</v>
      </c>
      <c r="D27" s="5" t="s">
        <v>24</v>
      </c>
      <c r="E27" s="5" t="s">
        <v>15</v>
      </c>
      <c r="F27" s="5" t="s">
        <v>16</v>
      </c>
      <c r="G27" s="5" t="s">
        <v>17</v>
      </c>
      <c r="H27" s="5" t="s">
        <v>17</v>
      </c>
      <c r="I27" s="5">
        <v>13.72</v>
      </c>
      <c r="J27" s="5">
        <v>2397.0</v>
      </c>
      <c r="K27" s="5">
        <v>339.0</v>
      </c>
      <c r="L27" s="5">
        <v>349.0</v>
      </c>
      <c r="M27" s="6">
        <f t="shared" si="1"/>
        <v>0.9713467049</v>
      </c>
      <c r="N27" s="5">
        <f t="shared" si="2"/>
        <v>7464.4</v>
      </c>
    </row>
    <row r="28" ht="15.75" customHeight="1">
      <c r="A28" s="4">
        <v>44619.0</v>
      </c>
      <c r="B28" s="5">
        <v>8109.0</v>
      </c>
      <c r="C28" s="5">
        <v>67.0</v>
      </c>
      <c r="D28" s="5" t="s">
        <v>14</v>
      </c>
      <c r="E28" s="5" t="s">
        <v>17</v>
      </c>
      <c r="F28" s="5" t="s">
        <v>16</v>
      </c>
      <c r="G28" s="5" t="s">
        <v>17</v>
      </c>
      <c r="H28" s="5" t="s">
        <v>17</v>
      </c>
      <c r="I28" s="5">
        <v>0.0</v>
      </c>
      <c r="J28" s="5">
        <v>2131.0</v>
      </c>
      <c r="K28" s="5">
        <v>490.0</v>
      </c>
      <c r="L28" s="5">
        <v>505.0</v>
      </c>
      <c r="M28" s="6">
        <f t="shared" si="1"/>
        <v>0.9702970297</v>
      </c>
      <c r="N28" s="5">
        <f t="shared" si="2"/>
        <v>8078.4</v>
      </c>
    </row>
    <row r="29" ht="15.75" customHeight="1">
      <c r="A29" s="4">
        <v>44620.0</v>
      </c>
      <c r="B29" s="5">
        <v>6839.0</v>
      </c>
      <c r="C29" s="5">
        <v>67.0</v>
      </c>
      <c r="D29" s="5" t="s">
        <v>14</v>
      </c>
      <c r="E29" s="5" t="s">
        <v>15</v>
      </c>
      <c r="F29" s="5" t="s">
        <v>16</v>
      </c>
      <c r="G29" s="5" t="s">
        <v>17</v>
      </c>
      <c r="H29" s="5" t="s">
        <v>17</v>
      </c>
      <c r="I29" s="5">
        <v>8.99</v>
      </c>
      <c r="J29" s="5">
        <v>1988.0</v>
      </c>
      <c r="K29" s="5">
        <v>453.0</v>
      </c>
      <c r="L29" s="5">
        <v>531.0</v>
      </c>
      <c r="M29" s="6">
        <f t="shared" si="1"/>
        <v>0.8531073446</v>
      </c>
      <c r="N29" s="5">
        <f t="shared" si="2"/>
        <v>7713</v>
      </c>
    </row>
    <row r="30" ht="15.75" customHeight="1">
      <c r="A30" s="7" t="s">
        <v>25</v>
      </c>
      <c r="B30" s="5">
        <f>SUM(B2:B29)</f>
        <v>174071</v>
      </c>
      <c r="I30" s="5">
        <f t="shared" ref="I30:J30" si="3">SUM(I2:I29)</f>
        <v>188.33</v>
      </c>
      <c r="J30" s="8">
        <f t="shared" si="3"/>
        <v>56152</v>
      </c>
      <c r="M30" s="6"/>
    </row>
    <row r="31" ht="15.75" customHeight="1">
      <c r="A31" s="7" t="s">
        <v>21</v>
      </c>
      <c r="B31" s="5">
        <f>AVERAGE(B2:B29)</f>
        <v>6216.821429</v>
      </c>
      <c r="I31" s="5">
        <f>AVERAGE(I2:I29)</f>
        <v>6.726071429</v>
      </c>
      <c r="M31" s="6"/>
    </row>
    <row r="32" ht="15.75" customHeight="1">
      <c r="A32" s="7" t="s">
        <v>26</v>
      </c>
      <c r="B32" s="5">
        <f>MIN(B2:B29)</f>
        <v>1484</v>
      </c>
      <c r="I32" s="5">
        <f>MIN(I2:I29)</f>
        <v>0</v>
      </c>
      <c r="M32" s="6"/>
    </row>
    <row r="33" ht="15.75" customHeight="1">
      <c r="A33" s="7" t="s">
        <v>27</v>
      </c>
      <c r="B33" s="5">
        <f>MAX(B2:B29)</f>
        <v>10337</v>
      </c>
      <c r="I33" s="5">
        <f>MAX(I2:I29)</f>
        <v>13.72</v>
      </c>
      <c r="M33" s="6"/>
    </row>
    <row r="34" ht="15.75" customHeight="1">
      <c r="A34" s="7"/>
      <c r="B34" s="5"/>
      <c r="M34" s="6"/>
    </row>
    <row r="35" ht="15.75" customHeight="1">
      <c r="A35" s="7"/>
      <c r="M35" s="6"/>
    </row>
    <row r="36" ht="15.75" customHeight="1">
      <c r="A36" s="7"/>
      <c r="M36" s="6"/>
    </row>
    <row r="37" ht="15.75" customHeight="1">
      <c r="A37" s="7"/>
      <c r="M37" s="6"/>
    </row>
    <row r="38" ht="15.75" customHeight="1">
      <c r="A38" s="7"/>
      <c r="M38" s="6"/>
    </row>
    <row r="39" ht="15.75" customHeight="1">
      <c r="A39" s="7"/>
      <c r="M39" s="6"/>
    </row>
    <row r="40" ht="15.75" customHeight="1">
      <c r="A40" s="7"/>
      <c r="M40" s="6"/>
    </row>
    <row r="41" ht="15.75" customHeight="1">
      <c r="A41" s="7"/>
      <c r="M41" s="6"/>
    </row>
    <row r="42" ht="15.75" customHeight="1">
      <c r="A42" s="7"/>
      <c r="M42" s="6"/>
    </row>
    <row r="43" ht="15.75" customHeight="1">
      <c r="A43" s="7"/>
      <c r="M43" s="6"/>
    </row>
    <row r="44" ht="15.75" customHeight="1">
      <c r="A44" s="7"/>
      <c r="M44" s="6"/>
    </row>
    <row r="45" ht="15.75" customHeight="1">
      <c r="A45" s="7"/>
      <c r="M45" s="6"/>
    </row>
    <row r="46" ht="15.75" customHeight="1">
      <c r="A46" s="7"/>
      <c r="M46" s="6"/>
    </row>
    <row r="47" ht="15.75" customHeight="1">
      <c r="A47" s="7"/>
      <c r="M47" s="6"/>
    </row>
    <row r="48" ht="15.75" customHeight="1">
      <c r="A48" s="7"/>
      <c r="M48" s="6"/>
    </row>
    <row r="49" ht="15.75" customHeight="1">
      <c r="A49" s="7"/>
      <c r="M49" s="6"/>
    </row>
    <row r="50" ht="15.75" customHeight="1">
      <c r="A50" s="7"/>
      <c r="M50" s="6"/>
    </row>
    <row r="51" ht="15.75" customHeight="1">
      <c r="A51" s="7"/>
      <c r="M51" s="6"/>
    </row>
    <row r="52" ht="15.75" customHeight="1">
      <c r="A52" s="7"/>
      <c r="M52" s="6"/>
    </row>
    <row r="53" ht="15.75" customHeight="1">
      <c r="A53" s="7"/>
      <c r="M53" s="6"/>
    </row>
    <row r="54" ht="15.75" customHeight="1">
      <c r="A54" s="7"/>
      <c r="M54" s="6"/>
    </row>
    <row r="55" ht="15.75" customHeight="1">
      <c r="A55" s="7"/>
      <c r="M55" s="6"/>
    </row>
    <row r="56" ht="15.75" customHeight="1">
      <c r="A56" s="7"/>
      <c r="M56" s="6"/>
    </row>
    <row r="57" ht="15.75" customHeight="1">
      <c r="A57" s="7"/>
      <c r="M57" s="6"/>
    </row>
    <row r="58" ht="15.75" customHeight="1">
      <c r="A58" s="7"/>
      <c r="M58" s="6"/>
    </row>
    <row r="59" ht="15.75" customHeight="1">
      <c r="A59" s="7"/>
      <c r="M59" s="6"/>
    </row>
    <row r="60" ht="15.75" customHeight="1">
      <c r="A60" s="7"/>
      <c r="M60" s="6"/>
    </row>
    <row r="61" ht="15.75" customHeight="1">
      <c r="A61" s="7"/>
      <c r="M61" s="6"/>
    </row>
    <row r="62" ht="15.75" customHeight="1">
      <c r="A62" s="7"/>
      <c r="M62" s="6"/>
    </row>
    <row r="63" ht="15.75" customHeight="1">
      <c r="A63" s="7"/>
      <c r="M63" s="6"/>
    </row>
    <row r="64" ht="15.75" customHeight="1">
      <c r="A64" s="7"/>
      <c r="M64" s="6"/>
    </row>
    <row r="65" ht="15.75" customHeight="1">
      <c r="A65" s="7"/>
      <c r="M65" s="6"/>
    </row>
    <row r="66" ht="15.75" customHeight="1">
      <c r="A66" s="7"/>
      <c r="M66" s="6"/>
    </row>
    <row r="67" ht="15.75" customHeight="1">
      <c r="A67" s="7"/>
      <c r="M67" s="6"/>
    </row>
    <row r="68" ht="15.75" customHeight="1">
      <c r="A68" s="7"/>
      <c r="M68" s="6"/>
    </row>
    <row r="69" ht="15.75" customHeight="1">
      <c r="A69" s="7"/>
      <c r="M69" s="6"/>
    </row>
    <row r="70" ht="15.75" customHeight="1">
      <c r="A70" s="7"/>
      <c r="M70" s="6"/>
    </row>
    <row r="71" ht="15.75" customHeight="1">
      <c r="A71" s="7"/>
      <c r="M71" s="6"/>
    </row>
    <row r="72" ht="15.75" customHeight="1">
      <c r="A72" s="7"/>
      <c r="M72" s="6"/>
    </row>
    <row r="73" ht="15.75" customHeight="1">
      <c r="A73" s="7"/>
      <c r="M73" s="6"/>
    </row>
    <row r="74" ht="15.75" customHeight="1">
      <c r="A74" s="7"/>
      <c r="M74" s="6"/>
    </row>
    <row r="75" ht="15.75" customHeight="1">
      <c r="A75" s="7"/>
      <c r="M75" s="6"/>
    </row>
    <row r="76" ht="15.75" customHeight="1">
      <c r="A76" s="7"/>
      <c r="M76" s="6"/>
    </row>
    <row r="77" ht="15.75" customHeight="1">
      <c r="A77" s="7"/>
      <c r="M77" s="6"/>
    </row>
    <row r="78" ht="15.75" customHeight="1">
      <c r="A78" s="7"/>
      <c r="M78" s="6"/>
    </row>
    <row r="79" ht="15.75" customHeight="1">
      <c r="A79" s="7"/>
      <c r="M79" s="6"/>
    </row>
    <row r="80" ht="15.75" customHeight="1">
      <c r="A80" s="7"/>
      <c r="M80" s="6"/>
    </row>
    <row r="81" ht="15.75" customHeight="1">
      <c r="A81" s="7"/>
      <c r="M81" s="6"/>
    </row>
    <row r="82" ht="15.75" customHeight="1">
      <c r="A82" s="7"/>
      <c r="M82" s="6"/>
    </row>
    <row r="83" ht="15.75" customHeight="1">
      <c r="A83" s="7"/>
      <c r="M83" s="6"/>
    </row>
    <row r="84" ht="15.75" customHeight="1">
      <c r="A84" s="7"/>
      <c r="M84" s="6"/>
    </row>
    <row r="85" ht="15.75" customHeight="1">
      <c r="A85" s="7"/>
      <c r="M85" s="6"/>
    </row>
    <row r="86" ht="15.75" customHeight="1">
      <c r="A86" s="7"/>
      <c r="M86" s="6"/>
    </row>
    <row r="87" ht="15.75" customHeight="1">
      <c r="A87" s="7"/>
      <c r="M87" s="6"/>
    </row>
    <row r="88" ht="15.75" customHeight="1">
      <c r="A88" s="7"/>
      <c r="M88" s="6"/>
    </row>
    <row r="89" ht="15.75" customHeight="1">
      <c r="A89" s="7"/>
      <c r="M89" s="6"/>
    </row>
    <row r="90" ht="15.75" customHeight="1">
      <c r="A90" s="7"/>
      <c r="M90" s="6"/>
    </row>
    <row r="91" ht="15.75" customHeight="1">
      <c r="A91" s="7"/>
      <c r="M91" s="6"/>
    </row>
    <row r="92" ht="15.75" customHeight="1">
      <c r="A92" s="7"/>
      <c r="M92" s="6"/>
    </row>
    <row r="93" ht="15.75" customHeight="1">
      <c r="A93" s="7"/>
      <c r="M93" s="6"/>
    </row>
    <row r="94" ht="15.75" customHeight="1">
      <c r="A94" s="7"/>
      <c r="M94" s="6"/>
    </row>
    <row r="95" ht="15.75" customHeight="1">
      <c r="A95" s="7"/>
      <c r="M95" s="6"/>
    </row>
    <row r="96" ht="15.75" customHeight="1">
      <c r="A96" s="7"/>
      <c r="M96" s="6"/>
    </row>
    <row r="97" ht="15.75" customHeight="1">
      <c r="A97" s="7"/>
      <c r="M97" s="6"/>
    </row>
    <row r="98" ht="15.75" customHeight="1">
      <c r="A98" s="7"/>
      <c r="M98" s="6"/>
    </row>
    <row r="99" ht="15.75" customHeight="1">
      <c r="A99" s="7"/>
      <c r="M99" s="6"/>
    </row>
    <row r="100" ht="15.75" customHeight="1">
      <c r="A100" s="7"/>
      <c r="M100" s="6"/>
    </row>
    <row r="101" ht="15.75" customHeight="1">
      <c r="A101" s="7"/>
      <c r="M101" s="6"/>
    </row>
    <row r="102" ht="15.75" customHeight="1">
      <c r="A102" s="7"/>
      <c r="M102" s="6"/>
    </row>
    <row r="103" ht="15.75" customHeight="1">
      <c r="A103" s="7"/>
      <c r="M103" s="6"/>
    </row>
    <row r="104" ht="15.75" customHeight="1">
      <c r="A104" s="7"/>
      <c r="M104" s="6"/>
    </row>
    <row r="105" ht="15.75" customHeight="1">
      <c r="A105" s="7"/>
      <c r="M105" s="6"/>
    </row>
    <row r="106" ht="15.75" customHeight="1">
      <c r="A106" s="7"/>
      <c r="M106" s="6"/>
    </row>
    <row r="107" ht="15.75" customHeight="1">
      <c r="A107" s="7"/>
      <c r="M107" s="6"/>
    </row>
    <row r="108" ht="15.75" customHeight="1">
      <c r="A108" s="7"/>
      <c r="M108" s="6"/>
    </row>
    <row r="109" ht="15.75" customHeight="1">
      <c r="A109" s="7"/>
      <c r="M109" s="6"/>
    </row>
    <row r="110" ht="15.75" customHeight="1">
      <c r="A110" s="7"/>
      <c r="M110" s="6"/>
    </row>
    <row r="111" ht="15.75" customHeight="1">
      <c r="A111" s="7"/>
      <c r="M111" s="6"/>
    </row>
    <row r="112" ht="15.75" customHeight="1">
      <c r="A112" s="7"/>
      <c r="M112" s="6"/>
    </row>
    <row r="113" ht="15.75" customHeight="1">
      <c r="A113" s="7"/>
      <c r="M113" s="6"/>
    </row>
    <row r="114" ht="15.75" customHeight="1">
      <c r="A114" s="7"/>
      <c r="M114" s="6"/>
    </row>
    <row r="115" ht="15.75" customHeight="1">
      <c r="A115" s="7"/>
      <c r="M115" s="6"/>
    </row>
    <row r="116" ht="15.75" customHeight="1">
      <c r="A116" s="7"/>
      <c r="M116" s="6"/>
    </row>
    <row r="117" ht="15.75" customHeight="1">
      <c r="A117" s="7"/>
      <c r="M117" s="6"/>
    </row>
    <row r="118" ht="15.75" customHeight="1">
      <c r="A118" s="7"/>
      <c r="M118" s="6"/>
    </row>
    <row r="119" ht="15.75" customHeight="1">
      <c r="A119" s="7"/>
      <c r="M119" s="6"/>
    </row>
    <row r="120" ht="15.75" customHeight="1">
      <c r="A120" s="7"/>
      <c r="M120" s="6"/>
    </row>
    <row r="121" ht="15.75" customHeight="1">
      <c r="A121" s="7"/>
      <c r="M121" s="6"/>
    </row>
    <row r="122" ht="15.75" customHeight="1">
      <c r="A122" s="7"/>
      <c r="M122" s="6"/>
    </row>
    <row r="123" ht="15.75" customHeight="1">
      <c r="A123" s="7"/>
      <c r="M123" s="6"/>
    </row>
    <row r="124" ht="15.75" customHeight="1">
      <c r="A124" s="7"/>
      <c r="M124" s="6"/>
    </row>
    <row r="125" ht="15.75" customHeight="1">
      <c r="A125" s="7"/>
      <c r="M125" s="6"/>
    </row>
    <row r="126" ht="15.75" customHeight="1">
      <c r="A126" s="7"/>
      <c r="M126" s="6"/>
    </row>
    <row r="127" ht="15.75" customHeight="1">
      <c r="A127" s="7"/>
      <c r="M127" s="6"/>
    </row>
    <row r="128" ht="15.75" customHeight="1">
      <c r="A128" s="7"/>
      <c r="M128" s="6"/>
    </row>
    <row r="129" ht="15.75" customHeight="1">
      <c r="A129" s="7"/>
      <c r="M129" s="6"/>
    </row>
    <row r="130" ht="15.75" customHeight="1">
      <c r="A130" s="7"/>
      <c r="M130" s="6"/>
    </row>
    <row r="131" ht="15.75" customHeight="1">
      <c r="A131" s="7"/>
      <c r="M131" s="6"/>
    </row>
    <row r="132" ht="15.75" customHeight="1">
      <c r="A132" s="7"/>
      <c r="M132" s="6"/>
    </row>
    <row r="133" ht="15.75" customHeight="1">
      <c r="A133" s="7"/>
      <c r="M133" s="6"/>
    </row>
    <row r="134" ht="15.75" customHeight="1">
      <c r="A134" s="7"/>
      <c r="M134" s="6"/>
    </row>
    <row r="135" ht="15.75" customHeight="1">
      <c r="A135" s="7"/>
      <c r="M135" s="6"/>
    </row>
    <row r="136" ht="15.75" customHeight="1">
      <c r="A136" s="7"/>
      <c r="M136" s="6"/>
    </row>
    <row r="137" ht="15.75" customHeight="1">
      <c r="A137" s="7"/>
      <c r="M137" s="6"/>
    </row>
    <row r="138" ht="15.75" customHeight="1">
      <c r="A138" s="7"/>
      <c r="M138" s="6"/>
    </row>
    <row r="139" ht="15.75" customHeight="1">
      <c r="A139" s="7"/>
      <c r="M139" s="6"/>
    </row>
    <row r="140" ht="15.75" customHeight="1">
      <c r="A140" s="7"/>
      <c r="M140" s="6"/>
    </row>
    <row r="141" ht="15.75" customHeight="1">
      <c r="A141" s="7"/>
      <c r="M141" s="6"/>
    </row>
    <row r="142" ht="15.75" customHeight="1">
      <c r="A142" s="7"/>
      <c r="M142" s="6"/>
    </row>
    <row r="143" ht="15.75" customHeight="1">
      <c r="A143" s="7"/>
      <c r="M143" s="6"/>
    </row>
    <row r="144" ht="15.75" customHeight="1">
      <c r="A144" s="7"/>
      <c r="M144" s="6"/>
    </row>
    <row r="145" ht="15.75" customHeight="1">
      <c r="A145" s="7"/>
      <c r="M145" s="6"/>
    </row>
    <row r="146" ht="15.75" customHeight="1">
      <c r="A146" s="7"/>
      <c r="M146" s="6"/>
    </row>
    <row r="147" ht="15.75" customHeight="1">
      <c r="A147" s="7"/>
      <c r="M147" s="6"/>
    </row>
    <row r="148" ht="15.75" customHeight="1">
      <c r="A148" s="7"/>
      <c r="M148" s="6"/>
    </row>
    <row r="149" ht="15.75" customHeight="1">
      <c r="A149" s="7"/>
      <c r="M149" s="6"/>
    </row>
    <row r="150" ht="15.75" customHeight="1">
      <c r="A150" s="7"/>
      <c r="M150" s="6"/>
    </row>
    <row r="151" ht="15.75" customHeight="1">
      <c r="A151" s="7"/>
      <c r="M151" s="6"/>
    </row>
    <row r="152" ht="15.75" customHeight="1">
      <c r="A152" s="7"/>
      <c r="M152" s="6"/>
    </row>
    <row r="153" ht="15.75" customHeight="1">
      <c r="A153" s="7"/>
      <c r="M153" s="6"/>
    </row>
    <row r="154" ht="15.75" customHeight="1">
      <c r="A154" s="7"/>
      <c r="M154" s="6"/>
    </row>
    <row r="155" ht="15.75" customHeight="1">
      <c r="A155" s="7"/>
      <c r="M155" s="6"/>
    </row>
    <row r="156" ht="15.75" customHeight="1">
      <c r="A156" s="7"/>
      <c r="M156" s="6"/>
    </row>
    <row r="157" ht="15.75" customHeight="1">
      <c r="A157" s="7"/>
      <c r="M157" s="6"/>
    </row>
    <row r="158" ht="15.75" customHeight="1">
      <c r="A158" s="7"/>
      <c r="M158" s="6"/>
    </row>
    <row r="159" ht="15.75" customHeight="1">
      <c r="A159" s="7"/>
      <c r="M159" s="6"/>
    </row>
    <row r="160" ht="15.75" customHeight="1">
      <c r="A160" s="7"/>
      <c r="M160" s="6"/>
    </row>
    <row r="161" ht="15.75" customHeight="1">
      <c r="A161" s="7"/>
      <c r="M161" s="6"/>
    </row>
    <row r="162" ht="15.75" customHeight="1">
      <c r="A162" s="7"/>
      <c r="M162" s="6"/>
    </row>
    <row r="163" ht="15.75" customHeight="1">
      <c r="A163" s="7"/>
      <c r="M163" s="6"/>
    </row>
    <row r="164" ht="15.75" customHeight="1">
      <c r="A164" s="7"/>
      <c r="M164" s="6"/>
    </row>
    <row r="165" ht="15.75" customHeight="1">
      <c r="A165" s="7"/>
      <c r="M165" s="6"/>
    </row>
    <row r="166" ht="15.75" customHeight="1">
      <c r="A166" s="7"/>
      <c r="M166" s="6"/>
    </row>
    <row r="167" ht="15.75" customHeight="1">
      <c r="A167" s="7"/>
      <c r="M167" s="6"/>
    </row>
    <row r="168" ht="15.75" customHeight="1">
      <c r="A168" s="7"/>
      <c r="M168" s="6"/>
    </row>
    <row r="169" ht="15.75" customHeight="1">
      <c r="A169" s="7"/>
      <c r="M169" s="6"/>
    </row>
    <row r="170" ht="15.75" customHeight="1">
      <c r="A170" s="7"/>
      <c r="M170" s="6"/>
    </row>
    <row r="171" ht="15.75" customHeight="1">
      <c r="A171" s="7"/>
      <c r="M171" s="6"/>
    </row>
    <row r="172" ht="15.75" customHeight="1">
      <c r="A172" s="7"/>
      <c r="M172" s="6"/>
    </row>
    <row r="173" ht="15.75" customHeight="1">
      <c r="A173" s="7"/>
      <c r="M173" s="6"/>
    </row>
    <row r="174" ht="15.75" customHeight="1">
      <c r="A174" s="7"/>
      <c r="M174" s="6"/>
    </row>
    <row r="175" ht="15.75" customHeight="1">
      <c r="A175" s="7"/>
      <c r="M175" s="6"/>
    </row>
    <row r="176" ht="15.75" customHeight="1">
      <c r="A176" s="7"/>
      <c r="M176" s="6"/>
    </row>
    <row r="177" ht="15.75" customHeight="1">
      <c r="A177" s="7"/>
      <c r="M177" s="6"/>
    </row>
    <row r="178" ht="15.75" customHeight="1">
      <c r="A178" s="7"/>
      <c r="M178" s="6"/>
    </row>
    <row r="179" ht="15.75" customHeight="1">
      <c r="A179" s="7"/>
      <c r="M179" s="6"/>
    </row>
    <row r="180" ht="15.75" customHeight="1">
      <c r="A180" s="7"/>
      <c r="M180" s="6"/>
    </row>
    <row r="181" ht="15.75" customHeight="1">
      <c r="A181" s="7"/>
      <c r="M181" s="6"/>
    </row>
    <row r="182" ht="15.75" customHeight="1">
      <c r="A182" s="7"/>
      <c r="M182" s="6"/>
    </row>
    <row r="183" ht="15.75" customHeight="1">
      <c r="A183" s="7"/>
      <c r="M183" s="6"/>
    </row>
    <row r="184" ht="15.75" customHeight="1">
      <c r="A184" s="7"/>
      <c r="M184" s="6"/>
    </row>
    <row r="185" ht="15.75" customHeight="1">
      <c r="A185" s="7"/>
      <c r="M185" s="6"/>
    </row>
    <row r="186" ht="15.75" customHeight="1">
      <c r="A186" s="7"/>
      <c r="M186" s="6"/>
    </row>
    <row r="187" ht="15.75" customHeight="1">
      <c r="A187" s="7"/>
      <c r="M187" s="6"/>
    </row>
    <row r="188" ht="15.75" customHeight="1">
      <c r="A188" s="7"/>
      <c r="M188" s="6"/>
    </row>
    <row r="189" ht="15.75" customHeight="1">
      <c r="A189" s="7"/>
      <c r="M189" s="6"/>
    </row>
    <row r="190" ht="15.75" customHeight="1">
      <c r="A190" s="7"/>
      <c r="M190" s="6"/>
    </row>
    <row r="191" ht="15.75" customHeight="1">
      <c r="A191" s="7"/>
      <c r="M191" s="6"/>
    </row>
    <row r="192" ht="15.75" customHeight="1">
      <c r="A192" s="7"/>
      <c r="M192" s="6"/>
    </row>
    <row r="193" ht="15.75" customHeight="1">
      <c r="A193" s="7"/>
      <c r="M193" s="6"/>
    </row>
    <row r="194" ht="15.75" customHeight="1">
      <c r="A194" s="7"/>
      <c r="M194" s="6"/>
    </row>
    <row r="195" ht="15.75" customHeight="1">
      <c r="A195" s="7"/>
      <c r="M195" s="6"/>
    </row>
    <row r="196" ht="15.75" customHeight="1">
      <c r="A196" s="7"/>
      <c r="M196" s="6"/>
    </row>
    <row r="197" ht="15.75" customHeight="1">
      <c r="A197" s="7"/>
      <c r="M197" s="6"/>
    </row>
    <row r="198" ht="15.75" customHeight="1">
      <c r="A198" s="7"/>
      <c r="M198" s="6"/>
    </row>
    <row r="199" ht="15.75" customHeight="1">
      <c r="A199" s="7"/>
      <c r="M199" s="6"/>
    </row>
    <row r="200" ht="15.75" customHeight="1">
      <c r="A200" s="7"/>
      <c r="M200" s="6"/>
    </row>
    <row r="201" ht="15.75" customHeight="1">
      <c r="A201" s="7"/>
      <c r="M201" s="6"/>
    </row>
    <row r="202" ht="15.75" customHeight="1">
      <c r="A202" s="7"/>
      <c r="M202" s="6"/>
    </row>
    <row r="203" ht="15.75" customHeight="1">
      <c r="A203" s="7"/>
      <c r="M203" s="6"/>
    </row>
    <row r="204" ht="15.75" customHeight="1">
      <c r="A204" s="7"/>
      <c r="M204" s="6"/>
    </row>
    <row r="205" ht="15.75" customHeight="1">
      <c r="A205" s="7"/>
      <c r="M205" s="6"/>
    </row>
    <row r="206" ht="15.75" customHeight="1">
      <c r="A206" s="7"/>
      <c r="M206" s="6"/>
    </row>
    <row r="207" ht="15.75" customHeight="1">
      <c r="A207" s="7"/>
      <c r="M207" s="6"/>
    </row>
    <row r="208" ht="15.75" customHeight="1">
      <c r="A208" s="7"/>
      <c r="M208" s="6"/>
    </row>
    <row r="209" ht="15.75" customHeight="1">
      <c r="A209" s="7"/>
      <c r="M209" s="6"/>
    </row>
    <row r="210" ht="15.75" customHeight="1">
      <c r="A210" s="7"/>
      <c r="M210" s="6"/>
    </row>
    <row r="211" ht="15.75" customHeight="1">
      <c r="A211" s="7"/>
      <c r="M211" s="6"/>
    </row>
    <row r="212" ht="15.75" customHeight="1">
      <c r="A212" s="7"/>
      <c r="M212" s="6"/>
    </row>
    <row r="213" ht="15.75" customHeight="1">
      <c r="A213" s="7"/>
      <c r="M213" s="6"/>
    </row>
    <row r="214" ht="15.75" customHeight="1">
      <c r="A214" s="7"/>
      <c r="M214" s="6"/>
    </row>
    <row r="215" ht="15.75" customHeight="1">
      <c r="A215" s="7"/>
      <c r="M215" s="6"/>
    </row>
    <row r="216" ht="15.75" customHeight="1">
      <c r="A216" s="7"/>
      <c r="M216" s="6"/>
    </row>
    <row r="217" ht="15.75" customHeight="1">
      <c r="A217" s="7"/>
      <c r="M217" s="6"/>
    </row>
    <row r="218" ht="15.75" customHeight="1">
      <c r="A218" s="7"/>
      <c r="M218" s="6"/>
    </row>
    <row r="219" ht="15.75" customHeight="1">
      <c r="A219" s="7"/>
      <c r="M219" s="6"/>
    </row>
    <row r="220" ht="15.75" customHeight="1">
      <c r="A220" s="7"/>
      <c r="M220" s="6"/>
    </row>
    <row r="221" ht="15.75" customHeight="1">
      <c r="A221" s="7"/>
      <c r="M221" s="6"/>
    </row>
    <row r="222" ht="15.75" customHeight="1">
      <c r="A222" s="7"/>
      <c r="M222" s="6"/>
    </row>
    <row r="223" ht="15.75" customHeight="1">
      <c r="A223" s="7"/>
      <c r="M223" s="6"/>
    </row>
    <row r="224" ht="15.75" customHeight="1">
      <c r="A224" s="7"/>
      <c r="M224" s="6"/>
    </row>
    <row r="225" ht="15.75" customHeight="1">
      <c r="A225" s="7"/>
      <c r="M225" s="6"/>
    </row>
    <row r="226" ht="15.75" customHeight="1">
      <c r="A226" s="7"/>
      <c r="M226" s="6"/>
    </row>
    <row r="227" ht="15.75" customHeight="1">
      <c r="A227" s="7"/>
      <c r="M227" s="6"/>
    </row>
    <row r="228" ht="15.75" customHeight="1">
      <c r="A228" s="7"/>
      <c r="M228" s="6"/>
    </row>
    <row r="229" ht="15.75" customHeight="1">
      <c r="A229" s="7"/>
      <c r="M229" s="6"/>
    </row>
    <row r="230" ht="15.75" customHeight="1">
      <c r="A230" s="7"/>
      <c r="M230" s="6"/>
    </row>
    <row r="231" ht="15.75" customHeight="1">
      <c r="A231" s="7"/>
      <c r="M231" s="6"/>
    </row>
    <row r="232" ht="15.75" customHeight="1">
      <c r="A232" s="7"/>
      <c r="M232" s="6"/>
    </row>
    <row r="233" ht="15.75" customHeight="1">
      <c r="A233" s="7"/>
      <c r="M233" s="6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5.5"/>
    <col customWidth="1" min="3" max="6" width="12.63"/>
  </cols>
  <sheetData>
    <row r="1"/>
    <row r="2"/>
    <row r="3"/>
    <row r="4"/>
    <row r="5"/>
    <row r="6"/>
    <row r="7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8.75"/>
    <col customWidth="1" min="3" max="6" width="12.63"/>
  </cols>
  <sheetData>
    <row r="1"/>
    <row r="2"/>
    <row r="3"/>
    <row r="4"/>
    <row r="5"/>
    <row r="6"/>
    <row r="7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