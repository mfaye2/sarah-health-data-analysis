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" sheetId="1" r:id="rId5"/>
    <sheet state="visible" name="dépense de sarah en fonction hu" sheetId="2" r:id="rId6"/>
    <sheet state="visible" name="humeur de sarah en fonction du " sheetId="3" r:id="rId7"/>
  </sheets>
  <definedNames/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<sst xmlns="http://schemas.openxmlformats.org/spreadsheetml/2006/main" count="174" uniqueCount="32">
  <si>
    <t>Date</t>
  </si>
  <si>
    <t>Nb total pas</t>
  </si>
  <si>
    <t>Moyenne mobile des pas</t>
  </si>
  <si>
    <t>Fréquence cardiaque au repos</t>
  </si>
  <si>
    <t>Symptômes</t>
  </si>
  <si>
    <t>Vélo</t>
  </si>
  <si>
    <t>Humeur</t>
  </si>
  <si>
    <t>Bon pour la santé ?</t>
  </si>
  <si>
    <t>Consistant ?</t>
  </si>
  <si>
    <t>Dépenses</t>
  </si>
  <si>
    <t>Calories</t>
  </si>
  <si>
    <t>Temps de sommeil total (en min.)</t>
  </si>
  <si>
    <t>Temps passé au lit (en min.)</t>
  </si>
  <si>
    <t>%endormies</t>
  </si>
  <si>
    <t>Aucun</t>
  </si>
  <si>
    <t>Non</t>
  </si>
  <si>
    <t>Excellente</t>
  </si>
  <si>
    <t>Oui</t>
  </si>
  <si>
    <t>Mal de tête</t>
  </si>
  <si>
    <t>Mauvaise</t>
  </si>
  <si>
    <t>Fatigue</t>
  </si>
  <si>
    <t>Moyenne</t>
  </si>
  <si>
    <t>Bonne</t>
  </si>
  <si>
    <t>Horrible</t>
  </si>
  <si>
    <t>Nausée</t>
  </si>
  <si>
    <t xml:space="preserve">SOMME </t>
  </si>
  <si>
    <t>MOYENNE</t>
  </si>
  <si>
    <t>MINIMUM</t>
  </si>
  <si>
    <t>MAXIMUM</t>
  </si>
  <si>
    <t>AVERAGE de Dépenses</t>
  </si>
  <si>
    <t>Total général</t>
  </si>
  <si>
    <t>COUNTA de Humeur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</si>
</sst>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164" xfId="0" applyBorder="1" applyFill="1" applyFont="1" applyNumberFormat="1"/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2" fontId="2" numFmtId="0" xfId="0" applyBorder="1" applyFont="1"/>
    <xf borderId="1" fillId="3" fontId="1" numFmtId="164" xfId="0" applyBorder="1" applyFill="1" applyFont="1" applyNumberFormat="1"/>
    <xf borderId="0" fillId="0" fontId="3" numFmtId="0" xfId="0" applyFont="1"/>
    <xf borderId="0" fillId="0" fontId="4" numFmtId="10" xfId="0" applyFont="1" applyNumberFormat="1"/>
    <xf borderId="0" fillId="0" fontId="2" numFmtId="0" xfId="0" applyAlignment="1" applyFont="1">
      <alignment readingOrder="0"/>
    </xf>
    <xf borderId="0" fillId="0" fontId="4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Nb total pas par rapport à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'Données'!$B$1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'Données'!$A$2:$A$29</c:f>
            </c:strRef>
          </c:cat>
          <c:val>
            <c:numRef>
              <c:f>'Données'!$B$2:$B$29</c:f>
              <c:numCache/>
            </c:numRef>
          </c:val>
          <c:smooth val="0"/>
        </c:ser>
        <c:axId val="140613510"/>
        <c:axId val="159556671"/>
      </c:lineChart>
      <c:catAx>
        <c:axId val="140613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556671"/>
      </c:catAx>
      <c:valAx>
        <c:axId val="159556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Nb total pas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6135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accent2"/>
                </a:solidFill>
                <a:latin typeface="+mn-lt"/>
              </a:defRPr>
            </a:pPr>
            <a:r>
              <a:rPr b="1">
                <a:solidFill>
                  <a:schemeClr val="accent2"/>
                </a:solidFill>
                <a:latin typeface="+mn-lt"/>
              </a:rPr>
              <a:t>nombre de calories dépensées par rapport aux pas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'Données'!$J$1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'Données'!$B$2:$B$29</c:f>
            </c:numRef>
          </c:xVal>
          <c:yVal>
            <c:numRef>
              <c:f>'Données'!$J$2:$J$29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891572"/>
        <c:axId val="1932206311"/>
      </c:scatterChart>
      <c:valAx>
        <c:axId val="3108915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Nombres de pas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155CC"/>
                </a:solidFill>
                <a:latin typeface="+mn-lt"/>
              </a:defRPr>
            </a:pPr>
          </a:p>
        </c:txPr>
        <c:crossAx val="1932206311"/>
      </c:valAx>
      <c:valAx>
        <c:axId val="1932206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calories depensées par sarah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089157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CC0000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Nb total de pas et Moyenne mobile des pas (par 5 jours )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'Données'!$B$1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'Données'!$A$2:$A$29</c:f>
            </c:strRef>
          </c:cat>
          <c:val>
            <c:numRef>
              <c:f>'Données'!$B$2:$B$29</c:f>
              <c:numCache/>
            </c:numRef>
          </c:val>
          <c:smooth val="0"/>
        </c:ser>
        <c:ser>
          <c:idx val="1"/>
          <c:order val="1"/>
          <c:tx>
            <c:strRef>
              <c:f>'Données'!$C$1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'Données'!$A$2:$A$29</c:f>
            </c:strRef>
          </c:cat>
          <c:val>
            <c:numRef>
              <c:f>'Données'!$C$2:$C$29</c:f>
              <c:numCache/>
            </c:numRef>
          </c:val>
          <c:smooth val="0"/>
        </c:ser>
        <c:axId val="636904281"/>
        <c:axId val="916968722"/>
      </c:lineChart>
      <c:catAx>
        <c:axId val="636904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968722"/>
      </c:catAx>
      <c:valAx>
        <c:axId val="916968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Pas de sarah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904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de Dépenses par rapport à Humeur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'dépense de sarah en fonction hu'!$B$1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'dépense de sarah en fonction hu'!$A$2:$A$6</c:f>
            </c:strRef>
          </c:cat>
          <c:val>
            <c:numRef>
              <c:f>'dépense de sarah en fonction hu'!$B$2:$B$6</c:f>
              <c:numCache/>
            </c:numRef>
          </c:val>
        </c:ser>
        <c:axId val="697873461"/>
        <c:axId val="593868657"/>
      </c:barChart>
      <c:catAx>
        <c:axId val="697873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Humeur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868657"/>
      </c:catAx>
      <c:valAx>
        <c:axId val="593868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de Dépenses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8734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humeur de sarah en fonction du nombre de jours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'humeur de sarah en fonction du 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'humeur de sarah en fonction du '!$A$2:$A$7</c:f>
            </c:strRef>
          </c:cat>
          <c:val>
            <c:numRef>
              <c:f>'humeur de sarah en fonction du '!$B$2:$B$7</c:f>
              <c:numCache/>
            </c:numRef>
          </c:val>
        </c:ser>
        <c:axId val="1295502588"/>
        <c:axId val="2088171965"/>
      </c:barChart>
      <c:catAx>
        <c:axId val="1295502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Humeur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8171965"/>
      </c:catAx>
      <c:valAx>
        <c:axId val="2088171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nombres de jours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502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42</xdr:row>
      <xdr:rowOff>9525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600075</xdr:colOff>
      <xdr:row>42</xdr:row>
      <xdr:rowOff>9525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76200</xdr:colOff>
      <xdr:row>26</xdr:row>
      <xdr:rowOff>47625</xdr:rowOff>
    </xdr:from>
    <xdr:ext cx="5715000" cy="3533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5</xdr:row>
      <xdr:rowOff>104775</xdr:rowOff>
    </xdr:from>
    <xdr:ext cx="5715000" cy="353377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8</xdr:row>
      <xdr:rowOff>57150</xdr:rowOff>
    </xdr:from>
    <xdr:ext cx="5715000" cy="3533775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G1:J29" sheet="Données"/>
  </cacheSource>
  <cacheFields>
    <cacheField name="Humeur" numFmtId="0">
      <sharedItems>
        <s v="Excellente"/>
        <s v="Mauvaise"/>
        <s v="Moyenne"/>
        <s v="Bonne"/>
        <s v="Horrible"/>
      </sharedItems>
    </cacheField>
    <cacheField name="Bon pour la santé ?" numFmtId="0">
      <sharedItems>
        <s v="Oui"/>
        <s v="Non"/>
      </sharedItems>
    </cacheField>
    <cacheField name="Consistant ?" numFmtId="0">
      <sharedItems>
        <s v="Oui"/>
        <s v="Non"/>
      </sharedItems>
    </cacheField>
    <cacheField name="Dépenses" numFmtId="0">
      <sharedItems containsSemiMixedTypes="0" containsString="0" containsNumber="1">
        <n v="12.1"/>
        <n v="5.45"/>
        <n v="2.01"/>
        <n v="12.5"/>
        <n v="0.0"/>
        <n v="7.44"/>
        <n v="13.34"/>
        <n v="7.18"/>
        <n v="12.8"/>
        <n v="10.37"/>
        <n v="11.0"/>
        <n v="8.4"/>
        <n v="10.2"/>
        <n v="9.8"/>
        <n v="10.7"/>
        <n v="8.3"/>
        <n v="5.0"/>
        <n v="11.3"/>
        <n v="7.73"/>
        <n v="13.72"/>
        <n v="8.9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G1:G1000" sheet="Données"/>
  </cacheSource>
  <cacheFields>
    <cacheField name="Humeur" numFmtId="0">
      <sharedItems containsBlank="1">
        <s v="Excellente"/>
        <s v="Mauvaise"/>
        <s v="Moyenne"/>
        <s v="Bonne"/>
        <s v="Horrible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épense de sarah en fonction hu" cacheId="0" dataCaption="" compact="0" compactData="0">
  <location ref="A1:B7" firstHeaderRow="0" firstDataRow="1" firstDataCol="0"/>
  <pivotFields>
    <pivotField name="Humeur" axis="axisRow" compact="0" outline="0" multipleItemSelectionAllowed="1" showAll="0" sortType="ascending">
      <items>
        <item x="3"/>
        <item x="0"/>
        <item x="4"/>
        <item x="1"/>
        <item x="2"/>
        <item t="default"/>
      </items>
    </pivotField>
    <pivotField name="Bon pour la santé ?" compact="0" outline="0" multipleItemSelectionAllowed="1" showAll="0">
      <items>
        <item x="0"/>
        <item x="1"/>
        <item t="default"/>
      </items>
    </pivotField>
    <pivotField name="Consistant ?" compact="0" outline="0" multipleItemSelectionAllowed="1" showAll="0">
      <items>
        <item x="0"/>
        <item x="1"/>
        <item t="default"/>
      </items>
    </pivotField>
    <pivotField name="Dépens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0"/>
  </rowFields>
  <dataFields>
    <dataField name="AVERAGE of Dépenses" fld="3" subtotal="average" baseField="0"/>
  </dataFields>
</pivotTableDefinition>
</file>

<file path=xl/pivotTables/pivotTable2.xml><?xml version="1.0" encoding="utf-8"?>
<pivotTableDefinition xmlns="http://schemas.openxmlformats.org/spreadsheetml/2006/main" name="humeur de sarah en fonction du " cacheId="1" dataCaption="" compact="0" compactData="0">
  <location ref="A1:B8" firstHeaderRow="0" firstDataRow="1" firstDataCol="0"/>
  <pivotFields>
    <pivotField name="Humeur" axis="axisRow" dataField="1" compact="0" outline="0" multipleItemSelectionAllowed="1" showAll="0" sortType="ascending">
      <items>
        <item x="5"/>
        <item x="3"/>
        <item x="0"/>
        <item x="4"/>
        <item x="1"/>
        <item x="2"/>
        <item t="default"/>
      </items>
    </pivotField>
  </pivotFields>
  <rowFields>
    <field x="0"/>
  </rowFields>
  <dataFields>
    <dataField name="COUNTA of Humeur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0.5"/>
    <col customWidth="1" min="3" max="4" width="25.13"/>
    <col customWidth="1" min="5" max="5" width="10.5"/>
    <col customWidth="1" min="6" max="6" width="4.5"/>
    <col customWidth="1" min="7" max="7" width="8.75"/>
    <col customWidth="1" min="8" max="8" width="16.5"/>
    <col customWidth="1" min="9" max="9" width="11.13"/>
    <col customWidth="1" min="10" max="10" width="8.88"/>
    <col customWidth="1" min="11" max="11" width="7.63"/>
    <col customWidth="1" min="12" max="12" width="27.25"/>
    <col customWidth="1" min="13" max="13" width="23.25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ht="15.75" customHeight="1">
      <c r="A2" s="5">
        <v>44593.0</v>
      </c>
      <c r="B2" s="6">
        <v>8372.0</v>
      </c>
      <c r="C2" s="6"/>
      <c r="D2" s="6">
        <v>68.0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17</v>
      </c>
      <c r="J2" s="6">
        <v>12.1</v>
      </c>
      <c r="K2" s="6">
        <v>2228.0</v>
      </c>
      <c r="L2" s="6">
        <v>535.0</v>
      </c>
      <c r="M2" s="6">
        <v>557.0</v>
      </c>
      <c r="N2" s="7">
        <f t="shared" ref="N2:N29" si="1">L2/M2</f>
        <v>0.960502693</v>
      </c>
    </row>
    <row r="3" ht="15.75" customHeight="1">
      <c r="A3" s="5">
        <v>44594.0</v>
      </c>
      <c r="B3" s="6">
        <v>4928.0</v>
      </c>
      <c r="C3" s="6"/>
      <c r="D3" s="6">
        <v>67.0</v>
      </c>
      <c r="E3" s="6" t="s">
        <v>18</v>
      </c>
      <c r="F3" s="6" t="s">
        <v>17</v>
      </c>
      <c r="G3" s="6" t="s">
        <v>19</v>
      </c>
      <c r="H3" s="6" t="s">
        <v>15</v>
      </c>
      <c r="I3" s="6" t="s">
        <v>17</v>
      </c>
      <c r="J3" s="6">
        <v>5.45</v>
      </c>
      <c r="K3" s="6">
        <v>1913.0</v>
      </c>
      <c r="L3" s="6">
        <v>520.0</v>
      </c>
      <c r="M3" s="6">
        <v>529.0</v>
      </c>
      <c r="N3" s="7">
        <f t="shared" si="1"/>
        <v>0.9829867675</v>
      </c>
    </row>
    <row r="4" ht="15.75" customHeight="1">
      <c r="A4" s="5">
        <v>44595.0</v>
      </c>
      <c r="B4" s="6">
        <v>4941.0</v>
      </c>
      <c r="C4" s="6"/>
      <c r="D4" s="6">
        <v>67.0</v>
      </c>
      <c r="E4" s="6" t="s">
        <v>20</v>
      </c>
      <c r="F4" s="6" t="s">
        <v>15</v>
      </c>
      <c r="G4" s="6" t="s">
        <v>21</v>
      </c>
      <c r="H4" s="6" t="s">
        <v>17</v>
      </c>
      <c r="I4" s="6" t="s">
        <v>17</v>
      </c>
      <c r="J4" s="6">
        <v>2.01</v>
      </c>
      <c r="K4" s="6">
        <v>1829.0</v>
      </c>
      <c r="L4" s="6">
        <v>506.0</v>
      </c>
      <c r="M4" s="6">
        <v>522.0</v>
      </c>
      <c r="N4" s="7">
        <f t="shared" si="1"/>
        <v>0.969348659</v>
      </c>
    </row>
    <row r="5" ht="15.75" customHeight="1">
      <c r="A5" s="5">
        <v>44596.0</v>
      </c>
      <c r="B5" s="6">
        <v>9783.0</v>
      </c>
      <c r="C5" s="6"/>
      <c r="D5" s="6">
        <v>68.0</v>
      </c>
      <c r="E5" s="6" t="s">
        <v>14</v>
      </c>
      <c r="F5" s="6" t="s">
        <v>15</v>
      </c>
      <c r="G5" s="6" t="s">
        <v>22</v>
      </c>
      <c r="H5" s="6" t="s">
        <v>17</v>
      </c>
      <c r="I5" s="6" t="s">
        <v>17</v>
      </c>
      <c r="J5" s="6">
        <v>12.5</v>
      </c>
      <c r="K5" s="6">
        <v>2288.0</v>
      </c>
      <c r="L5" s="6">
        <v>390.0</v>
      </c>
      <c r="M5" s="6">
        <v>409.0</v>
      </c>
      <c r="N5" s="7">
        <f t="shared" si="1"/>
        <v>0.9535452323</v>
      </c>
    </row>
    <row r="6" ht="15.75" customHeight="1">
      <c r="A6" s="5">
        <v>44597.0</v>
      </c>
      <c r="B6" s="6">
        <v>7994.0</v>
      </c>
      <c r="C6" s="6">
        <f t="shared" ref="C6:C29" si="2">AVERAGE(B2:B6)</f>
        <v>7203.6</v>
      </c>
      <c r="D6" s="6">
        <v>67.0</v>
      </c>
      <c r="E6" s="6" t="s">
        <v>14</v>
      </c>
      <c r="F6" s="6" t="s">
        <v>15</v>
      </c>
      <c r="G6" s="6" t="s">
        <v>22</v>
      </c>
      <c r="H6" s="6" t="s">
        <v>17</v>
      </c>
      <c r="I6" s="6" t="s">
        <v>17</v>
      </c>
      <c r="J6" s="6">
        <v>0.0</v>
      </c>
      <c r="K6" s="6">
        <v>2145.0</v>
      </c>
      <c r="L6" s="6">
        <v>377.0</v>
      </c>
      <c r="M6" s="6">
        <v>387.0</v>
      </c>
      <c r="N6" s="7">
        <f t="shared" si="1"/>
        <v>0.9741602067</v>
      </c>
    </row>
    <row r="7" ht="15.75" customHeight="1">
      <c r="A7" s="5">
        <v>44598.0</v>
      </c>
      <c r="B7" s="6">
        <v>7682.0</v>
      </c>
      <c r="C7" s="6">
        <f t="shared" si="2"/>
        <v>7065.6</v>
      </c>
      <c r="D7" s="6">
        <v>67.0</v>
      </c>
      <c r="E7" s="6" t="s">
        <v>14</v>
      </c>
      <c r="F7" s="6" t="s">
        <v>15</v>
      </c>
      <c r="G7" s="6" t="s">
        <v>22</v>
      </c>
      <c r="H7" s="6" t="s">
        <v>17</v>
      </c>
      <c r="I7" s="6" t="s">
        <v>17</v>
      </c>
      <c r="J7" s="6">
        <v>0.0</v>
      </c>
      <c r="K7" s="6">
        <v>2125.0</v>
      </c>
      <c r="L7" s="6">
        <v>523.0</v>
      </c>
      <c r="M7" s="6">
        <v>543.0</v>
      </c>
      <c r="N7" s="7">
        <f t="shared" si="1"/>
        <v>0.9631675875</v>
      </c>
    </row>
    <row r="8" ht="15.75" customHeight="1">
      <c r="A8" s="5">
        <v>44599.0</v>
      </c>
      <c r="B8" s="6">
        <v>7881.0</v>
      </c>
      <c r="C8" s="6">
        <f t="shared" si="2"/>
        <v>7656.2</v>
      </c>
      <c r="D8" s="6">
        <v>68.0</v>
      </c>
      <c r="E8" s="6" t="s">
        <v>14</v>
      </c>
      <c r="F8" s="6" t="s">
        <v>15</v>
      </c>
      <c r="G8" s="6" t="s">
        <v>16</v>
      </c>
      <c r="H8" s="6" t="s">
        <v>17</v>
      </c>
      <c r="I8" s="6" t="s">
        <v>17</v>
      </c>
      <c r="J8" s="6">
        <v>7.44</v>
      </c>
      <c r="K8" s="6">
        <v>2238.0</v>
      </c>
      <c r="L8" s="6">
        <v>523.0</v>
      </c>
      <c r="M8" s="6">
        <v>543.0</v>
      </c>
      <c r="N8" s="7">
        <f t="shared" si="1"/>
        <v>0.9631675875</v>
      </c>
    </row>
    <row r="9" ht="15.75" customHeight="1">
      <c r="A9" s="5">
        <v>44600.0</v>
      </c>
      <c r="B9" s="6">
        <v>2563.0</v>
      </c>
      <c r="C9" s="6">
        <f t="shared" si="2"/>
        <v>7180.6</v>
      </c>
      <c r="D9" s="6">
        <v>68.0</v>
      </c>
      <c r="E9" s="6" t="s">
        <v>18</v>
      </c>
      <c r="F9" s="6" t="s">
        <v>15</v>
      </c>
      <c r="G9" s="6" t="s">
        <v>23</v>
      </c>
      <c r="H9" s="6" t="s">
        <v>15</v>
      </c>
      <c r="I9" s="6" t="s">
        <v>17</v>
      </c>
      <c r="J9" s="6">
        <v>13.34</v>
      </c>
      <c r="K9" s="6">
        <v>1625.0</v>
      </c>
      <c r="L9" s="6">
        <v>533.0</v>
      </c>
      <c r="M9" s="6">
        <v>550.0</v>
      </c>
      <c r="N9" s="7">
        <f t="shared" si="1"/>
        <v>0.9690909091</v>
      </c>
    </row>
    <row r="10" ht="15.75" customHeight="1">
      <c r="A10" s="5">
        <v>44601.0</v>
      </c>
      <c r="B10" s="6">
        <v>10337.0</v>
      </c>
      <c r="C10" s="6">
        <f t="shared" si="2"/>
        <v>7291.4</v>
      </c>
      <c r="D10" s="6">
        <v>68.0</v>
      </c>
      <c r="E10" s="6" t="s">
        <v>24</v>
      </c>
      <c r="F10" s="6" t="s">
        <v>15</v>
      </c>
      <c r="G10" s="6" t="s">
        <v>16</v>
      </c>
      <c r="H10" s="6" t="s">
        <v>17</v>
      </c>
      <c r="I10" s="6" t="s">
        <v>17</v>
      </c>
      <c r="J10" s="6">
        <v>7.18</v>
      </c>
      <c r="K10" s="6">
        <v>2388.0</v>
      </c>
      <c r="L10" s="6">
        <v>605.0</v>
      </c>
      <c r="M10" s="6">
        <v>615.0</v>
      </c>
      <c r="N10" s="7">
        <f t="shared" si="1"/>
        <v>0.9837398374</v>
      </c>
    </row>
    <row r="11" ht="15.75" customHeight="1">
      <c r="A11" s="5">
        <v>44602.0</v>
      </c>
      <c r="B11" s="6">
        <v>9968.0</v>
      </c>
      <c r="C11" s="6">
        <f t="shared" si="2"/>
        <v>7686.2</v>
      </c>
      <c r="D11" s="6">
        <v>68.0</v>
      </c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17</v>
      </c>
      <c r="J11" s="6">
        <v>0.0</v>
      </c>
      <c r="K11" s="6">
        <v>2365.0</v>
      </c>
      <c r="L11" s="6">
        <v>467.0</v>
      </c>
      <c r="M11" s="6">
        <v>501.0</v>
      </c>
      <c r="N11" s="7">
        <f t="shared" si="1"/>
        <v>0.9321357285</v>
      </c>
    </row>
    <row r="12" ht="15.75" customHeight="1">
      <c r="A12" s="5">
        <v>44603.0</v>
      </c>
      <c r="B12" s="6">
        <v>2068.0</v>
      </c>
      <c r="C12" s="6">
        <f t="shared" si="2"/>
        <v>6563.4</v>
      </c>
      <c r="D12" s="6">
        <v>67.0</v>
      </c>
      <c r="E12" s="6" t="s">
        <v>14</v>
      </c>
      <c r="F12" s="6" t="s">
        <v>15</v>
      </c>
      <c r="G12" s="6" t="s">
        <v>22</v>
      </c>
      <c r="H12" s="6" t="s">
        <v>17</v>
      </c>
      <c r="I12" s="6" t="s">
        <v>17</v>
      </c>
      <c r="J12" s="6">
        <v>12.8</v>
      </c>
      <c r="K12" s="6">
        <v>1700.0</v>
      </c>
      <c r="L12" s="6">
        <v>298.0</v>
      </c>
      <c r="M12" s="6">
        <v>313.0</v>
      </c>
      <c r="N12" s="7">
        <f t="shared" si="1"/>
        <v>0.9520766773</v>
      </c>
    </row>
    <row r="13" ht="15.75" customHeight="1">
      <c r="A13" s="5">
        <v>44604.0</v>
      </c>
      <c r="B13" s="6">
        <v>3982.0</v>
      </c>
      <c r="C13" s="6">
        <f t="shared" si="2"/>
        <v>5783.6</v>
      </c>
      <c r="D13" s="6">
        <v>68.0</v>
      </c>
      <c r="E13" s="6" t="s">
        <v>14</v>
      </c>
      <c r="F13" s="6" t="s">
        <v>15</v>
      </c>
      <c r="G13" s="6" t="s">
        <v>22</v>
      </c>
      <c r="H13" s="6" t="s">
        <v>17</v>
      </c>
      <c r="I13" s="6" t="s">
        <v>17</v>
      </c>
      <c r="J13" s="6">
        <v>10.37</v>
      </c>
      <c r="K13" s="6">
        <v>1816.0</v>
      </c>
      <c r="L13" s="6">
        <v>286.0</v>
      </c>
      <c r="M13" s="6">
        <v>307.0</v>
      </c>
      <c r="N13" s="7">
        <f t="shared" si="1"/>
        <v>0.9315960912</v>
      </c>
    </row>
    <row r="14" ht="15.75" customHeight="1">
      <c r="A14" s="5">
        <v>44605.0</v>
      </c>
      <c r="B14" s="6">
        <v>4084.0</v>
      </c>
      <c r="C14" s="6">
        <f t="shared" si="2"/>
        <v>6087.8</v>
      </c>
      <c r="D14" s="6">
        <v>67.0</v>
      </c>
      <c r="E14" s="6" t="s">
        <v>14</v>
      </c>
      <c r="F14" s="6" t="s">
        <v>15</v>
      </c>
      <c r="G14" s="6" t="s">
        <v>22</v>
      </c>
      <c r="H14" s="6" t="s">
        <v>17</v>
      </c>
      <c r="I14" s="6" t="s">
        <v>17</v>
      </c>
      <c r="J14" s="6">
        <v>0.0</v>
      </c>
      <c r="K14" s="6">
        <v>1785.0</v>
      </c>
      <c r="L14" s="6">
        <v>505.0</v>
      </c>
      <c r="M14" s="6">
        <v>516.0</v>
      </c>
      <c r="N14" s="7">
        <f t="shared" si="1"/>
        <v>0.9786821705</v>
      </c>
    </row>
    <row r="15" ht="15.75" customHeight="1">
      <c r="A15" s="5">
        <v>44606.0</v>
      </c>
      <c r="B15" s="6">
        <v>2397.0</v>
      </c>
      <c r="C15" s="6">
        <f t="shared" si="2"/>
        <v>4499.8</v>
      </c>
      <c r="D15" s="6">
        <v>67.0</v>
      </c>
      <c r="E15" s="6" t="s">
        <v>14</v>
      </c>
      <c r="F15" s="6" t="s">
        <v>17</v>
      </c>
      <c r="G15" s="6" t="s">
        <v>19</v>
      </c>
      <c r="H15" s="6" t="s">
        <v>15</v>
      </c>
      <c r="I15" s="6" t="s">
        <v>17</v>
      </c>
      <c r="J15" s="6">
        <v>11.0</v>
      </c>
      <c r="K15" s="6">
        <v>1607.0</v>
      </c>
      <c r="L15" s="6">
        <v>497.0</v>
      </c>
      <c r="M15" s="6">
        <v>522.0</v>
      </c>
      <c r="N15" s="7">
        <f t="shared" si="1"/>
        <v>0.9521072797</v>
      </c>
    </row>
    <row r="16" ht="15.75" customHeight="1">
      <c r="A16" s="5">
        <v>44607.0</v>
      </c>
      <c r="B16" s="6">
        <v>7468.0</v>
      </c>
      <c r="C16" s="6">
        <f t="shared" si="2"/>
        <v>3999.8</v>
      </c>
      <c r="D16" s="6">
        <v>67.0</v>
      </c>
      <c r="E16" s="6" t="s">
        <v>14</v>
      </c>
      <c r="F16" s="6" t="s">
        <v>17</v>
      </c>
      <c r="G16" s="6" t="s">
        <v>16</v>
      </c>
      <c r="H16" s="6" t="s">
        <v>17</v>
      </c>
      <c r="I16" s="6" t="s">
        <v>17</v>
      </c>
      <c r="J16" s="6">
        <v>8.4</v>
      </c>
      <c r="K16" s="6">
        <v>2123.0</v>
      </c>
      <c r="L16" s="6">
        <v>523.0</v>
      </c>
      <c r="M16" s="6">
        <v>546.0</v>
      </c>
      <c r="N16" s="7">
        <f t="shared" si="1"/>
        <v>0.9578754579</v>
      </c>
    </row>
    <row r="17" ht="15.75" customHeight="1">
      <c r="A17" s="5">
        <v>44608.0</v>
      </c>
      <c r="B17" s="6">
        <v>7803.0</v>
      </c>
      <c r="C17" s="6">
        <f t="shared" si="2"/>
        <v>5146.8</v>
      </c>
      <c r="D17" s="6">
        <v>67.0</v>
      </c>
      <c r="E17" s="6" t="s">
        <v>14</v>
      </c>
      <c r="F17" s="6" t="s">
        <v>17</v>
      </c>
      <c r="G17" s="6" t="s">
        <v>16</v>
      </c>
      <c r="H17" s="6" t="s">
        <v>17</v>
      </c>
      <c r="I17" s="6" t="s">
        <v>17</v>
      </c>
      <c r="J17" s="6">
        <v>10.2</v>
      </c>
      <c r="K17" s="6">
        <v>2207.0</v>
      </c>
      <c r="L17" s="6">
        <v>490.0</v>
      </c>
      <c r="M17" s="6">
        <v>516.0</v>
      </c>
      <c r="N17" s="7">
        <f t="shared" si="1"/>
        <v>0.9496124031</v>
      </c>
    </row>
    <row r="18" ht="15.75" customHeight="1">
      <c r="A18" s="5">
        <v>44609.0</v>
      </c>
      <c r="B18" s="6">
        <v>1484.0</v>
      </c>
      <c r="C18" s="6">
        <f t="shared" si="2"/>
        <v>4647.2</v>
      </c>
      <c r="D18" s="6">
        <v>68.0</v>
      </c>
      <c r="E18" s="6" t="s">
        <v>14</v>
      </c>
      <c r="F18" s="6" t="s">
        <v>15</v>
      </c>
      <c r="G18" s="6" t="s">
        <v>22</v>
      </c>
      <c r="H18" s="6" t="s">
        <v>17</v>
      </c>
      <c r="I18" s="6" t="s">
        <v>17</v>
      </c>
      <c r="J18" s="6">
        <v>9.8</v>
      </c>
      <c r="K18" s="6">
        <v>1639.0</v>
      </c>
      <c r="L18" s="6">
        <v>484.0</v>
      </c>
      <c r="M18" s="6">
        <v>500.0</v>
      </c>
      <c r="N18" s="7">
        <f t="shared" si="1"/>
        <v>0.968</v>
      </c>
    </row>
    <row r="19" ht="15.75" customHeight="1">
      <c r="A19" s="5">
        <v>44610.0</v>
      </c>
      <c r="B19" s="6">
        <v>3102.0</v>
      </c>
      <c r="C19" s="6">
        <f t="shared" si="2"/>
        <v>4450.8</v>
      </c>
      <c r="D19" s="6">
        <v>67.0</v>
      </c>
      <c r="E19" s="6" t="s">
        <v>20</v>
      </c>
      <c r="F19" s="6" t="s">
        <v>15</v>
      </c>
      <c r="G19" s="6" t="s">
        <v>19</v>
      </c>
      <c r="H19" s="6" t="s">
        <v>17</v>
      </c>
      <c r="I19" s="6" t="s">
        <v>15</v>
      </c>
      <c r="J19" s="6">
        <v>10.7</v>
      </c>
      <c r="K19" s="6">
        <v>1858.0</v>
      </c>
      <c r="L19" s="6">
        <v>333.0</v>
      </c>
      <c r="M19" s="6">
        <v>339.0</v>
      </c>
      <c r="N19" s="7">
        <f t="shared" si="1"/>
        <v>0.982300885</v>
      </c>
    </row>
    <row r="20" ht="15.75" customHeight="1">
      <c r="A20" s="5">
        <v>44611.0</v>
      </c>
      <c r="B20" s="6">
        <v>3673.0</v>
      </c>
      <c r="C20" s="6">
        <f t="shared" si="2"/>
        <v>4706</v>
      </c>
      <c r="D20" s="6">
        <v>67.0</v>
      </c>
      <c r="E20" s="6" t="s">
        <v>20</v>
      </c>
      <c r="F20" s="6" t="s">
        <v>15</v>
      </c>
      <c r="G20" s="6" t="s">
        <v>19</v>
      </c>
      <c r="H20" s="6" t="s">
        <v>17</v>
      </c>
      <c r="I20" s="6" t="s">
        <v>15</v>
      </c>
      <c r="J20" s="6">
        <v>8.3</v>
      </c>
      <c r="K20" s="6">
        <v>1730.0</v>
      </c>
      <c r="L20" s="6">
        <v>353.0</v>
      </c>
      <c r="M20" s="6">
        <v>388.0</v>
      </c>
      <c r="N20" s="7">
        <f t="shared" si="1"/>
        <v>0.9097938144</v>
      </c>
    </row>
    <row r="21" ht="15.75" customHeight="1">
      <c r="A21" s="5">
        <v>44612.0</v>
      </c>
      <c r="B21" s="6">
        <v>7443.0</v>
      </c>
      <c r="C21" s="6">
        <f t="shared" si="2"/>
        <v>4701</v>
      </c>
      <c r="D21" s="6">
        <v>68.0</v>
      </c>
      <c r="E21" s="6" t="s">
        <v>14</v>
      </c>
      <c r="F21" s="6" t="s">
        <v>15</v>
      </c>
      <c r="G21" s="6" t="s">
        <v>16</v>
      </c>
      <c r="H21" s="6" t="s">
        <v>17</v>
      </c>
      <c r="I21" s="6" t="s">
        <v>17</v>
      </c>
      <c r="J21" s="6">
        <v>0.0</v>
      </c>
      <c r="K21" s="6">
        <v>2126.0</v>
      </c>
      <c r="L21" s="6">
        <v>450.0</v>
      </c>
      <c r="M21" s="6">
        <v>460.0</v>
      </c>
      <c r="N21" s="7">
        <f t="shared" si="1"/>
        <v>0.9782608696</v>
      </c>
    </row>
    <row r="22" ht="15.75" customHeight="1">
      <c r="A22" s="5">
        <v>44613.0</v>
      </c>
      <c r="B22" s="6">
        <v>3848.0</v>
      </c>
      <c r="C22" s="6">
        <f t="shared" si="2"/>
        <v>3910</v>
      </c>
      <c r="D22" s="6">
        <v>68.0</v>
      </c>
      <c r="E22" s="6" t="s">
        <v>14</v>
      </c>
      <c r="F22" s="6" t="s">
        <v>15</v>
      </c>
      <c r="G22" s="6" t="s">
        <v>16</v>
      </c>
      <c r="H22" s="6" t="s">
        <v>17</v>
      </c>
      <c r="I22" s="6" t="s">
        <v>17</v>
      </c>
      <c r="J22" s="6">
        <v>5.0</v>
      </c>
      <c r="K22" s="6">
        <v>1806.0</v>
      </c>
      <c r="L22" s="6">
        <v>507.0</v>
      </c>
      <c r="M22" s="6">
        <v>530.0</v>
      </c>
      <c r="N22" s="7">
        <f t="shared" si="1"/>
        <v>0.9566037736</v>
      </c>
    </row>
    <row r="23" ht="15.75" customHeight="1">
      <c r="A23" s="5">
        <v>44614.0</v>
      </c>
      <c r="B23" s="6">
        <v>5039.0</v>
      </c>
      <c r="C23" s="6">
        <f t="shared" si="2"/>
        <v>4621</v>
      </c>
      <c r="D23" s="6">
        <v>68.0</v>
      </c>
      <c r="E23" s="6" t="s">
        <v>14</v>
      </c>
      <c r="F23" s="6" t="s">
        <v>15</v>
      </c>
      <c r="G23" s="6" t="s">
        <v>16</v>
      </c>
      <c r="H23" s="6" t="s">
        <v>17</v>
      </c>
      <c r="I23" s="6" t="s">
        <v>17</v>
      </c>
      <c r="J23" s="6">
        <v>0.0</v>
      </c>
      <c r="K23" s="6">
        <v>1851.0</v>
      </c>
      <c r="L23" s="6">
        <v>602.0</v>
      </c>
      <c r="M23" s="6">
        <v>638.0</v>
      </c>
      <c r="N23" s="7">
        <f t="shared" si="1"/>
        <v>0.9435736677</v>
      </c>
    </row>
    <row r="24" ht="15.75" customHeight="1">
      <c r="A24" s="5">
        <v>44615.0</v>
      </c>
      <c r="B24" s="6">
        <v>8666.0</v>
      </c>
      <c r="C24" s="6">
        <f t="shared" si="2"/>
        <v>5733.8</v>
      </c>
      <c r="D24" s="6">
        <v>68.0</v>
      </c>
      <c r="E24" s="6" t="s">
        <v>14</v>
      </c>
      <c r="F24" s="6" t="s">
        <v>15</v>
      </c>
      <c r="G24" s="6" t="s">
        <v>16</v>
      </c>
      <c r="H24" s="6" t="s">
        <v>17</v>
      </c>
      <c r="I24" s="6" t="s">
        <v>17</v>
      </c>
      <c r="J24" s="6">
        <v>11.3</v>
      </c>
      <c r="K24" s="6">
        <v>2153.0</v>
      </c>
      <c r="L24" s="6">
        <v>535.0</v>
      </c>
      <c r="M24" s="6">
        <v>565.0</v>
      </c>
      <c r="N24" s="7">
        <f t="shared" si="1"/>
        <v>0.9469026549</v>
      </c>
    </row>
    <row r="25" ht="15.75" customHeight="1">
      <c r="A25" s="5">
        <v>44616.0</v>
      </c>
      <c r="B25" s="6">
        <v>7449.0</v>
      </c>
      <c r="C25" s="6">
        <f t="shared" si="2"/>
        <v>6489</v>
      </c>
      <c r="D25" s="6">
        <v>67.0</v>
      </c>
      <c r="E25" s="6" t="s">
        <v>14</v>
      </c>
      <c r="F25" s="6" t="s">
        <v>17</v>
      </c>
      <c r="G25" s="6" t="s">
        <v>22</v>
      </c>
      <c r="H25" s="6" t="s">
        <v>17</v>
      </c>
      <c r="I25" s="6" t="s">
        <v>17</v>
      </c>
      <c r="J25" s="6">
        <v>7.73</v>
      </c>
      <c r="K25" s="6">
        <v>2115.0</v>
      </c>
      <c r="L25" s="6">
        <v>393.0</v>
      </c>
      <c r="M25" s="6">
        <v>412.0</v>
      </c>
      <c r="N25" s="7">
        <f t="shared" si="1"/>
        <v>0.9538834951</v>
      </c>
    </row>
    <row r="26" ht="15.75" customHeight="1">
      <c r="A26" s="5">
        <v>44617.0</v>
      </c>
      <c r="B26" s="6">
        <v>6033.0</v>
      </c>
      <c r="C26" s="6">
        <f t="shared" si="2"/>
        <v>6207</v>
      </c>
      <c r="D26" s="6">
        <v>67.0</v>
      </c>
      <c r="E26" s="6" t="s">
        <v>14</v>
      </c>
      <c r="F26" s="6" t="s">
        <v>15</v>
      </c>
      <c r="G26" s="6" t="s">
        <v>22</v>
      </c>
      <c r="H26" s="6" t="s">
        <v>17</v>
      </c>
      <c r="I26" s="6" t="s">
        <v>17</v>
      </c>
      <c r="J26" s="6">
        <v>0.0</v>
      </c>
      <c r="K26" s="6">
        <v>1976.0</v>
      </c>
      <c r="L26" s="6">
        <v>302.0</v>
      </c>
      <c r="M26" s="6">
        <v>321.0</v>
      </c>
      <c r="N26" s="7">
        <f t="shared" si="1"/>
        <v>0.9408099688</v>
      </c>
    </row>
    <row r="27" ht="15.75" customHeight="1">
      <c r="A27" s="5">
        <v>44618.0</v>
      </c>
      <c r="B27" s="6">
        <v>10135.0</v>
      </c>
      <c r="C27" s="6">
        <f t="shared" si="2"/>
        <v>7464.4</v>
      </c>
      <c r="D27" s="6">
        <v>68.0</v>
      </c>
      <c r="E27" s="6" t="s">
        <v>24</v>
      </c>
      <c r="F27" s="6" t="s">
        <v>15</v>
      </c>
      <c r="G27" s="6" t="s">
        <v>16</v>
      </c>
      <c r="H27" s="6" t="s">
        <v>17</v>
      </c>
      <c r="I27" s="6" t="s">
        <v>17</v>
      </c>
      <c r="J27" s="6">
        <v>13.72</v>
      </c>
      <c r="K27" s="6">
        <v>2397.0</v>
      </c>
      <c r="L27" s="6">
        <v>339.0</v>
      </c>
      <c r="M27" s="6">
        <v>349.0</v>
      </c>
      <c r="N27" s="7">
        <f t="shared" si="1"/>
        <v>0.9713467049</v>
      </c>
    </row>
    <row r="28" ht="15.75" customHeight="1">
      <c r="A28" s="5">
        <v>44619.0</v>
      </c>
      <c r="B28" s="6">
        <v>8109.0</v>
      </c>
      <c r="C28" s="6">
        <f t="shared" si="2"/>
        <v>8078.4</v>
      </c>
      <c r="D28" s="6">
        <v>67.0</v>
      </c>
      <c r="E28" s="6" t="s">
        <v>14</v>
      </c>
      <c r="F28" s="6" t="s">
        <v>17</v>
      </c>
      <c r="G28" s="6" t="s">
        <v>16</v>
      </c>
      <c r="H28" s="6" t="s">
        <v>17</v>
      </c>
      <c r="I28" s="6" t="s">
        <v>17</v>
      </c>
      <c r="J28" s="6">
        <v>0.0</v>
      </c>
      <c r="K28" s="6">
        <v>2131.0</v>
      </c>
      <c r="L28" s="6">
        <v>490.0</v>
      </c>
      <c r="M28" s="6">
        <v>505.0</v>
      </c>
      <c r="N28" s="7">
        <f t="shared" si="1"/>
        <v>0.9702970297</v>
      </c>
    </row>
    <row r="29" ht="15.75" customHeight="1">
      <c r="A29" s="5">
        <v>44620.0</v>
      </c>
      <c r="B29" s="6">
        <v>6839.0</v>
      </c>
      <c r="C29" s="6">
        <f t="shared" si="2"/>
        <v>7713</v>
      </c>
      <c r="D29" s="6">
        <v>67.0</v>
      </c>
      <c r="E29" s="6" t="s">
        <v>14</v>
      </c>
      <c r="F29" s="6" t="s">
        <v>15</v>
      </c>
      <c r="G29" s="6" t="s">
        <v>16</v>
      </c>
      <c r="H29" s="6" t="s">
        <v>17</v>
      </c>
      <c r="I29" s="6" t="s">
        <v>17</v>
      </c>
      <c r="J29" s="6">
        <v>8.99</v>
      </c>
      <c r="K29" s="6">
        <v>1988.0</v>
      </c>
      <c r="L29" s="6">
        <v>453.0</v>
      </c>
      <c r="M29" s="6">
        <v>531.0</v>
      </c>
      <c r="N29" s="7">
        <f t="shared" si="1"/>
        <v>0.8531073446</v>
      </c>
    </row>
    <row r="30" ht="15.75" customHeight="1">
      <c r="A30" s="8" t="s">
        <v>25</v>
      </c>
      <c r="B30" s="9">
        <f>SUM(B2:B29)</f>
        <v>174071</v>
      </c>
    </row>
    <row r="31" ht="15.75" customHeight="1">
      <c r="A31" s="8" t="s">
        <v>26</v>
      </c>
      <c r="B31" s="9">
        <f>AVERAGEA(B2:B29)</f>
        <v>6216.821429</v>
      </c>
    </row>
    <row r="32" ht="15.75" customHeight="1">
      <c r="A32" s="8" t="s">
        <v>27</v>
      </c>
      <c r="B32" s="9">
        <f>MIN(B2:B29)</f>
        <v>1484</v>
      </c>
    </row>
    <row r="33" ht="15.75" customHeight="1">
      <c r="A33" s="8" t="s">
        <v>28</v>
      </c>
      <c r="B33" s="9">
        <f>MAX(B2:B29)</f>
        <v>10337</v>
      </c>
    </row>
    <row r="34" ht="15.75" customHeight="1">
      <c r="A34" s="10"/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</sheetData>
  <drawing r:id="rId2"/>
</worksheet>
</file>